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08AA3BD0-A434-460C-844D-7A3D0DABB6C0}" xr6:coauthVersionLast="47" xr6:coauthVersionMax="47" xr10:uidLastSave="{00000000-0000-0000-0000-000000000000}"/>
  <bookViews>
    <workbookView xWindow="2205" yWindow="2205" windowWidth="21600" windowHeight="11295" xr2:uid="{4505A0AB-6763-44B0-B447-0FC0626D1B4E}"/>
  </bookViews>
  <sheets>
    <sheet name="MEN" sheetId="1" r:id="rId1"/>
  </sheets>
  <definedNames>
    <definedName name="_xlnm._FilterDatabase" localSheetId="0" hidden="1">MEN!$A$1:$D$1455</definedName>
  </definedNames>
  <calcPr calcId="191029"/>
</workbook>
</file>

<file path=xl/calcChain.xml><?xml version="1.0" encoding="utf-8"?>
<calcChain xmlns="http://schemas.openxmlformats.org/spreadsheetml/2006/main">
  <c r="C1455" i="1" l="1"/>
  <c r="A1455" i="1"/>
  <c r="C1454" i="1"/>
  <c r="A1454" i="1"/>
  <c r="C1453" i="1"/>
  <c r="A1453" i="1"/>
  <c r="A1452" i="1"/>
  <c r="C1451" i="1"/>
  <c r="A1451" i="1"/>
  <c r="C1450" i="1"/>
  <c r="A1450" i="1"/>
  <c r="C1449" i="1"/>
  <c r="A1449" i="1"/>
  <c r="A1448" i="1"/>
  <c r="A1447" i="1"/>
  <c r="C1446" i="1"/>
  <c r="A1446" i="1"/>
  <c r="C1445" i="1"/>
  <c r="A1445" i="1"/>
  <c r="C1444" i="1"/>
  <c r="A1444" i="1"/>
  <c r="C1443" i="1"/>
  <c r="A1443" i="1"/>
  <c r="C1442" i="1"/>
  <c r="A1442" i="1"/>
  <c r="C1441" i="1"/>
  <c r="A1441" i="1"/>
  <c r="C1440" i="1"/>
  <c r="A1440" i="1"/>
  <c r="C1439" i="1"/>
  <c r="A1439" i="1"/>
  <c r="C1438" i="1"/>
  <c r="A1438" i="1"/>
  <c r="C1437" i="1"/>
  <c r="A1437" i="1"/>
  <c r="C1436" i="1"/>
  <c r="A1436" i="1"/>
  <c r="A1435" i="1"/>
  <c r="C1434" i="1"/>
  <c r="A1434" i="1"/>
  <c r="C1433" i="1"/>
  <c r="A1433" i="1"/>
  <c r="C1432" i="1"/>
  <c r="A1432" i="1"/>
  <c r="C1431" i="1"/>
  <c r="A1431" i="1"/>
  <c r="C1430" i="1"/>
  <c r="A1430" i="1"/>
  <c r="C1429" i="1"/>
  <c r="A1429" i="1"/>
  <c r="C1428" i="1"/>
  <c r="A1428" i="1"/>
  <c r="C1427" i="1"/>
  <c r="A1427" i="1"/>
  <c r="C1426" i="1"/>
  <c r="A1426" i="1"/>
  <c r="C1425" i="1"/>
  <c r="A1425" i="1"/>
  <c r="C1424" i="1"/>
  <c r="A1424" i="1"/>
  <c r="C1423" i="1"/>
  <c r="A1423" i="1"/>
  <c r="C1422" i="1"/>
  <c r="A1422" i="1"/>
  <c r="C1421" i="1"/>
  <c r="A1421" i="1"/>
  <c r="C1420" i="1"/>
  <c r="A1420" i="1"/>
  <c r="C1419" i="1"/>
  <c r="A1419" i="1"/>
  <c r="C1418" i="1"/>
  <c r="A1418" i="1"/>
  <c r="C1417" i="1"/>
  <c r="A1417" i="1"/>
  <c r="C1416" i="1"/>
  <c r="A1416" i="1"/>
  <c r="C1415" i="1"/>
  <c r="A1415" i="1"/>
  <c r="C1414" i="1"/>
  <c r="A1414" i="1"/>
  <c r="C1413" i="1"/>
  <c r="A1413" i="1"/>
  <c r="C1412" i="1"/>
  <c r="A1412" i="1"/>
  <c r="C1411" i="1"/>
  <c r="A1411" i="1"/>
  <c r="C1410" i="1"/>
  <c r="A1410" i="1"/>
  <c r="C1409" i="1"/>
  <c r="A1409" i="1"/>
  <c r="C1408" i="1"/>
  <c r="A1408" i="1"/>
  <c r="C1407" i="1"/>
  <c r="A1407" i="1"/>
  <c r="A1406" i="1"/>
  <c r="A1405" i="1"/>
  <c r="A1404" i="1"/>
  <c r="C1403" i="1"/>
  <c r="A1403" i="1"/>
  <c r="C1402" i="1"/>
  <c r="A1402" i="1"/>
  <c r="C1401" i="1"/>
  <c r="A1401" i="1"/>
  <c r="C1400" i="1"/>
  <c r="A1400" i="1"/>
  <c r="C1399" i="1"/>
  <c r="A1399" i="1"/>
  <c r="C1398" i="1"/>
  <c r="A1398" i="1"/>
  <c r="C1397" i="1"/>
  <c r="A1397" i="1"/>
  <c r="C1396" i="1"/>
  <c r="A1396" i="1"/>
  <c r="C1395" i="1"/>
  <c r="A1395" i="1"/>
  <c r="C1394" i="1"/>
  <c r="A1394" i="1"/>
  <c r="C1393" i="1"/>
  <c r="A1393" i="1"/>
  <c r="C1392" i="1"/>
  <c r="A1392" i="1"/>
  <c r="C1391" i="1"/>
  <c r="A1391" i="1"/>
  <c r="C1390" i="1"/>
  <c r="A1390" i="1"/>
  <c r="C1389" i="1"/>
  <c r="A1389" i="1"/>
  <c r="C1388" i="1"/>
  <c r="A1388" i="1"/>
  <c r="C1387" i="1"/>
  <c r="A1387" i="1"/>
  <c r="C1386" i="1"/>
  <c r="A1386" i="1"/>
  <c r="C1385" i="1"/>
  <c r="A1385" i="1"/>
  <c r="C1384" i="1"/>
  <c r="A1384" i="1"/>
  <c r="C1383" i="1"/>
  <c r="A1383" i="1"/>
  <c r="C1382" i="1"/>
  <c r="A1382" i="1"/>
  <c r="C1381" i="1"/>
  <c r="A1381" i="1"/>
  <c r="C1380" i="1"/>
  <c r="A1380" i="1"/>
  <c r="C1379" i="1"/>
  <c r="A1379" i="1"/>
  <c r="C1378" i="1"/>
  <c r="A1378" i="1"/>
  <c r="C1377" i="1"/>
  <c r="A1377" i="1"/>
  <c r="C1376" i="1"/>
  <c r="A1376" i="1"/>
  <c r="C1375" i="1"/>
  <c r="A1375" i="1"/>
  <c r="C1374" i="1"/>
  <c r="A1374" i="1"/>
  <c r="C1373" i="1"/>
  <c r="A1373" i="1"/>
  <c r="C1372" i="1"/>
  <c r="A1372" i="1"/>
  <c r="C1371" i="1"/>
  <c r="A1371" i="1"/>
  <c r="C1370" i="1"/>
  <c r="A1370" i="1"/>
  <c r="C1369" i="1"/>
  <c r="A1369" i="1"/>
  <c r="C1368" i="1"/>
  <c r="A1368" i="1"/>
  <c r="C1367" i="1"/>
  <c r="A1367" i="1"/>
  <c r="C1366" i="1"/>
  <c r="A1366" i="1"/>
  <c r="C1365" i="1"/>
  <c r="A1365" i="1"/>
  <c r="C1364" i="1"/>
  <c r="A1364" i="1"/>
  <c r="C1363" i="1"/>
  <c r="A1363" i="1"/>
  <c r="C1362" i="1"/>
  <c r="A1362" i="1"/>
  <c r="C1361" i="1"/>
  <c r="A1361" i="1"/>
  <c r="C1360" i="1"/>
  <c r="A1360" i="1"/>
  <c r="C1359" i="1"/>
  <c r="A1359" i="1"/>
  <c r="C1358" i="1"/>
  <c r="A1358" i="1"/>
  <c r="C1357" i="1"/>
  <c r="A1357" i="1"/>
  <c r="C1356" i="1"/>
  <c r="A1356" i="1"/>
  <c r="C1355" i="1"/>
  <c r="A1355" i="1"/>
  <c r="C1354" i="1"/>
  <c r="A1354" i="1"/>
  <c r="C1353" i="1"/>
  <c r="A1353" i="1"/>
  <c r="C1352" i="1"/>
  <c r="A1352" i="1"/>
  <c r="C1351" i="1"/>
  <c r="A1351" i="1"/>
  <c r="A1350" i="1"/>
  <c r="C1349" i="1"/>
  <c r="A1349" i="1"/>
  <c r="C1348" i="1"/>
  <c r="A1348" i="1"/>
  <c r="C1347" i="1"/>
  <c r="A1347" i="1"/>
  <c r="C1346" i="1"/>
  <c r="A1346" i="1"/>
  <c r="C1345" i="1"/>
  <c r="A1345" i="1"/>
  <c r="C1344" i="1"/>
  <c r="A1344" i="1"/>
  <c r="C1343" i="1"/>
  <c r="A1343" i="1"/>
  <c r="C1342" i="1"/>
  <c r="A1342" i="1"/>
  <c r="C1341" i="1"/>
  <c r="A1341" i="1"/>
  <c r="A1340" i="1"/>
  <c r="C1339" i="1"/>
  <c r="A1339" i="1"/>
  <c r="C1338" i="1"/>
  <c r="A1338" i="1"/>
  <c r="A1337" i="1"/>
  <c r="C1336" i="1"/>
  <c r="A1336" i="1"/>
  <c r="C1335" i="1"/>
  <c r="A1335" i="1"/>
  <c r="C1334" i="1"/>
  <c r="A1334" i="1"/>
  <c r="C1333" i="1"/>
  <c r="A1333" i="1"/>
  <c r="A1332" i="1"/>
  <c r="C1331" i="1"/>
  <c r="A1331" i="1"/>
  <c r="C1330" i="1"/>
  <c r="A1330" i="1"/>
  <c r="C1329" i="1"/>
  <c r="A1329" i="1"/>
  <c r="C1328" i="1"/>
  <c r="A1328" i="1"/>
  <c r="C1327" i="1"/>
  <c r="A1327" i="1"/>
  <c r="C1326" i="1"/>
  <c r="A1326" i="1"/>
  <c r="C1325" i="1"/>
  <c r="A1325" i="1"/>
  <c r="C1324" i="1"/>
  <c r="A1324" i="1"/>
  <c r="C1323" i="1"/>
  <c r="A1323" i="1"/>
  <c r="C1322" i="1"/>
  <c r="A1322" i="1"/>
  <c r="C1321" i="1"/>
  <c r="A1321" i="1"/>
  <c r="C1320" i="1"/>
  <c r="A1320" i="1"/>
  <c r="C1319" i="1"/>
  <c r="A1319" i="1"/>
  <c r="C1318" i="1"/>
  <c r="A1318" i="1"/>
  <c r="C1317" i="1"/>
  <c r="A1317" i="1"/>
  <c r="A1316" i="1"/>
  <c r="A1315" i="1"/>
  <c r="C1314" i="1"/>
  <c r="A1314" i="1"/>
  <c r="C1313" i="1"/>
  <c r="A1313" i="1"/>
  <c r="C1312" i="1"/>
  <c r="A1312" i="1"/>
  <c r="C1311" i="1"/>
  <c r="A1311" i="1"/>
  <c r="C1310" i="1"/>
  <c r="A1310" i="1"/>
  <c r="C1309" i="1"/>
  <c r="A1309" i="1"/>
  <c r="C1308" i="1"/>
  <c r="A1308" i="1"/>
  <c r="C1307" i="1"/>
  <c r="A1307" i="1"/>
  <c r="C1306" i="1"/>
  <c r="A1306" i="1"/>
  <c r="C1305" i="1"/>
  <c r="A1305" i="1"/>
  <c r="C1304" i="1"/>
  <c r="A1304" i="1"/>
  <c r="C1303" i="1"/>
  <c r="A1303" i="1"/>
  <c r="C1302" i="1"/>
  <c r="A1302" i="1"/>
  <c r="C1301" i="1"/>
  <c r="A1301" i="1"/>
  <c r="C1300" i="1"/>
  <c r="A1300" i="1"/>
  <c r="C1299" i="1"/>
  <c r="A1299" i="1"/>
  <c r="C1298" i="1"/>
  <c r="A1298" i="1"/>
  <c r="C1297" i="1"/>
  <c r="A1297" i="1"/>
  <c r="C1296" i="1"/>
  <c r="A1296" i="1"/>
  <c r="C1295" i="1"/>
  <c r="A1295" i="1"/>
  <c r="C1294" i="1"/>
  <c r="A1294" i="1"/>
  <c r="C1293" i="1"/>
  <c r="A1293" i="1"/>
  <c r="A1292" i="1"/>
  <c r="C1291" i="1"/>
  <c r="A1291" i="1"/>
  <c r="C1290" i="1"/>
  <c r="A1290" i="1"/>
  <c r="C1289" i="1"/>
  <c r="A1289" i="1"/>
  <c r="C1288" i="1"/>
  <c r="A1288" i="1"/>
  <c r="C1287" i="1"/>
  <c r="A1287" i="1"/>
  <c r="C1286" i="1"/>
  <c r="A1286" i="1"/>
  <c r="C1285" i="1"/>
  <c r="A1285" i="1"/>
  <c r="C1284" i="1"/>
  <c r="A1284" i="1"/>
  <c r="C1283" i="1"/>
  <c r="A1283" i="1"/>
  <c r="A1282" i="1"/>
  <c r="C1281" i="1"/>
  <c r="A1281" i="1"/>
  <c r="C1280" i="1"/>
  <c r="A1280" i="1"/>
  <c r="C1279" i="1"/>
  <c r="A1279" i="1"/>
  <c r="A1278" i="1"/>
  <c r="C1277" i="1"/>
  <c r="A1277" i="1"/>
  <c r="C1276" i="1"/>
  <c r="A1276" i="1"/>
  <c r="C1275" i="1"/>
  <c r="A1275" i="1"/>
  <c r="C1274" i="1"/>
  <c r="A1274" i="1"/>
  <c r="C1273" i="1"/>
  <c r="A1273" i="1"/>
  <c r="C1272" i="1"/>
  <c r="A1272" i="1"/>
  <c r="C1271" i="1"/>
  <c r="A1271" i="1"/>
  <c r="C1270" i="1"/>
  <c r="A1270" i="1"/>
  <c r="C1269" i="1"/>
  <c r="A1269" i="1"/>
  <c r="C1268" i="1"/>
  <c r="A1268" i="1"/>
  <c r="C1267" i="1"/>
  <c r="A1267" i="1"/>
  <c r="C1266" i="1"/>
  <c r="A1266" i="1"/>
  <c r="C1265" i="1"/>
  <c r="A1265" i="1"/>
  <c r="C1264" i="1"/>
  <c r="A1264" i="1"/>
  <c r="C1263" i="1"/>
  <c r="A1263" i="1"/>
  <c r="C1262" i="1"/>
  <c r="A1262" i="1"/>
  <c r="C1261" i="1"/>
  <c r="A1261" i="1"/>
  <c r="C1260" i="1"/>
  <c r="A1260" i="1"/>
  <c r="A1259" i="1"/>
  <c r="C1258" i="1"/>
  <c r="A1258" i="1"/>
  <c r="A1257" i="1"/>
  <c r="C1256" i="1"/>
  <c r="A1256" i="1"/>
  <c r="C1255" i="1"/>
  <c r="A1255" i="1"/>
  <c r="C1254" i="1"/>
  <c r="A1254" i="1"/>
  <c r="C1253" i="1"/>
  <c r="A1253" i="1"/>
  <c r="C1252" i="1"/>
  <c r="A1252" i="1"/>
  <c r="C1251" i="1"/>
  <c r="A1251" i="1"/>
  <c r="C1250" i="1"/>
  <c r="A1250" i="1"/>
  <c r="C1249" i="1"/>
  <c r="A1249" i="1"/>
  <c r="C1248" i="1"/>
  <c r="A1248" i="1"/>
  <c r="C1247" i="1"/>
  <c r="A1247" i="1"/>
  <c r="C1246" i="1"/>
  <c r="A1246" i="1"/>
  <c r="C1245" i="1"/>
  <c r="A1245" i="1"/>
  <c r="C1244" i="1"/>
  <c r="A1244" i="1"/>
  <c r="C1243" i="1"/>
  <c r="A1243" i="1"/>
  <c r="A1242" i="1"/>
  <c r="C1241" i="1"/>
  <c r="A1241" i="1"/>
  <c r="C1240" i="1"/>
  <c r="A1240" i="1"/>
  <c r="C1239" i="1"/>
  <c r="A1239" i="1"/>
  <c r="C1238" i="1"/>
  <c r="A1238" i="1"/>
  <c r="C1237" i="1"/>
  <c r="A1237" i="1"/>
  <c r="C1236" i="1"/>
  <c r="A1236" i="1"/>
  <c r="C1235" i="1"/>
  <c r="A1235" i="1"/>
  <c r="C1234" i="1"/>
  <c r="A1234" i="1"/>
  <c r="C1233" i="1"/>
  <c r="A1233" i="1"/>
  <c r="C1232" i="1"/>
  <c r="A1232" i="1"/>
  <c r="C1231" i="1"/>
  <c r="A1231" i="1"/>
  <c r="C1230" i="1"/>
  <c r="A1230" i="1"/>
  <c r="C1229" i="1"/>
  <c r="A1229" i="1"/>
  <c r="C1228" i="1"/>
  <c r="A1228" i="1"/>
  <c r="C1227" i="1"/>
  <c r="A1227" i="1"/>
  <c r="C1226" i="1"/>
  <c r="A1226" i="1"/>
  <c r="C1225" i="1"/>
  <c r="A1225" i="1"/>
  <c r="C1224" i="1"/>
  <c r="A1224" i="1"/>
  <c r="C1223" i="1"/>
  <c r="A1223" i="1"/>
  <c r="C1222" i="1"/>
  <c r="A1222" i="1"/>
  <c r="C1221" i="1"/>
  <c r="A1221" i="1"/>
  <c r="C1220" i="1"/>
  <c r="A1220" i="1"/>
  <c r="C1219" i="1"/>
  <c r="A1219" i="1"/>
  <c r="C1218" i="1"/>
  <c r="A1218" i="1"/>
  <c r="C1217" i="1"/>
  <c r="A1217" i="1"/>
  <c r="C1216" i="1"/>
  <c r="A1216" i="1"/>
  <c r="C1215" i="1"/>
  <c r="A1215" i="1"/>
  <c r="C1214" i="1"/>
  <c r="A1214" i="1"/>
  <c r="C1213" i="1"/>
  <c r="A1213" i="1"/>
  <c r="C1212" i="1"/>
  <c r="A1212" i="1"/>
  <c r="C1211" i="1"/>
  <c r="A1211" i="1"/>
  <c r="C1210" i="1"/>
  <c r="A1210" i="1"/>
  <c r="C1209" i="1"/>
  <c r="A1209" i="1"/>
  <c r="C1208" i="1"/>
  <c r="A1208" i="1"/>
  <c r="C1207" i="1"/>
  <c r="A1207" i="1"/>
  <c r="C1206" i="1"/>
  <c r="A1206" i="1"/>
  <c r="C1205" i="1"/>
  <c r="A1205" i="1"/>
  <c r="C1204" i="1"/>
  <c r="A1204" i="1"/>
  <c r="C1203" i="1"/>
  <c r="A1203" i="1"/>
  <c r="C1202" i="1"/>
  <c r="A1202" i="1"/>
  <c r="A1201" i="1"/>
  <c r="C1200" i="1"/>
  <c r="A1200" i="1"/>
  <c r="C1199" i="1"/>
  <c r="A1199" i="1"/>
  <c r="C1198" i="1"/>
  <c r="A1198" i="1"/>
  <c r="C1197" i="1"/>
  <c r="A1197" i="1"/>
  <c r="C1196" i="1"/>
  <c r="A1196" i="1"/>
  <c r="C1195" i="1"/>
  <c r="A1195" i="1"/>
  <c r="C1194" i="1"/>
  <c r="A1194" i="1"/>
  <c r="C1193" i="1"/>
  <c r="A1193" i="1"/>
  <c r="C1192" i="1"/>
  <c r="A1192" i="1"/>
  <c r="C1191" i="1"/>
  <c r="A1191" i="1"/>
  <c r="C1190" i="1"/>
  <c r="A1190" i="1"/>
  <c r="C1189" i="1"/>
  <c r="A1189" i="1"/>
  <c r="C1188" i="1"/>
  <c r="A1188" i="1"/>
  <c r="C1187" i="1"/>
  <c r="A1187" i="1"/>
  <c r="C1186" i="1"/>
  <c r="A1186" i="1"/>
  <c r="C1185" i="1"/>
  <c r="A1185" i="1"/>
  <c r="C1184" i="1"/>
  <c r="A1184" i="1"/>
  <c r="C1183" i="1"/>
  <c r="A1183" i="1"/>
  <c r="C1182" i="1"/>
  <c r="A1182" i="1"/>
  <c r="C1181" i="1"/>
  <c r="A1181" i="1"/>
  <c r="C1180" i="1"/>
  <c r="A1180" i="1"/>
  <c r="C1179" i="1"/>
  <c r="A1179" i="1"/>
  <c r="C1178" i="1"/>
  <c r="A1178" i="1"/>
  <c r="C1177" i="1"/>
  <c r="A1177" i="1"/>
  <c r="C1176" i="1"/>
  <c r="A1176" i="1"/>
  <c r="C1175" i="1"/>
  <c r="A1175" i="1"/>
  <c r="C1174" i="1"/>
  <c r="A1174" i="1"/>
  <c r="C1173" i="1"/>
  <c r="A1173" i="1"/>
  <c r="C1172" i="1"/>
  <c r="A1172" i="1"/>
  <c r="C1171" i="1"/>
  <c r="A1171" i="1"/>
  <c r="C1170" i="1"/>
  <c r="A1170" i="1"/>
  <c r="C1169" i="1"/>
  <c r="A1169" i="1"/>
  <c r="C1168" i="1"/>
  <c r="A1168" i="1"/>
  <c r="C1167" i="1"/>
  <c r="A1167" i="1"/>
  <c r="C1166" i="1"/>
  <c r="A1166" i="1"/>
  <c r="C1165" i="1"/>
  <c r="A1165" i="1"/>
  <c r="C1164" i="1"/>
  <c r="A1164" i="1"/>
  <c r="C1163" i="1"/>
  <c r="A1163" i="1"/>
  <c r="C1162" i="1"/>
  <c r="A1162" i="1"/>
  <c r="C1161" i="1"/>
  <c r="A1161" i="1"/>
  <c r="C1160" i="1"/>
  <c r="A1160" i="1"/>
  <c r="C1159" i="1"/>
  <c r="A1159" i="1"/>
  <c r="C1158" i="1"/>
  <c r="A1158" i="1"/>
  <c r="C1157" i="1"/>
  <c r="A1157" i="1"/>
  <c r="C1156" i="1"/>
  <c r="A1156" i="1"/>
  <c r="C1155" i="1"/>
  <c r="A1155" i="1"/>
  <c r="C1154" i="1"/>
  <c r="A1154" i="1"/>
  <c r="C1153" i="1"/>
  <c r="A1153" i="1"/>
  <c r="C1152" i="1"/>
  <c r="A1152" i="1"/>
  <c r="C1151" i="1"/>
  <c r="A1151" i="1"/>
  <c r="C1150" i="1"/>
  <c r="A1150" i="1"/>
  <c r="C1149" i="1"/>
  <c r="A1149" i="1"/>
  <c r="C1148" i="1"/>
  <c r="A1148" i="1"/>
  <c r="C1147" i="1"/>
  <c r="A1147" i="1"/>
  <c r="C1146" i="1"/>
  <c r="A1146" i="1"/>
  <c r="C1145" i="1"/>
  <c r="A1145" i="1"/>
  <c r="C1144" i="1"/>
  <c r="A1144" i="1"/>
  <c r="C1143" i="1"/>
  <c r="A1143" i="1"/>
  <c r="C1142" i="1"/>
  <c r="A1142" i="1"/>
  <c r="C1141" i="1"/>
  <c r="A1141" i="1"/>
  <c r="C1140" i="1"/>
  <c r="A1140" i="1"/>
  <c r="C1139" i="1"/>
  <c r="A1139" i="1"/>
  <c r="C1138" i="1"/>
  <c r="A1138" i="1"/>
  <c r="C1137" i="1"/>
  <c r="A1137" i="1"/>
  <c r="C1136" i="1"/>
  <c r="A1136" i="1"/>
  <c r="C1135" i="1"/>
  <c r="A1135" i="1"/>
  <c r="C1134" i="1"/>
  <c r="A1134" i="1"/>
  <c r="C1133" i="1"/>
  <c r="A1133" i="1"/>
  <c r="C1132" i="1"/>
  <c r="A1132" i="1"/>
  <c r="C1131" i="1"/>
  <c r="A1131" i="1"/>
  <c r="C1130" i="1"/>
  <c r="A1130" i="1"/>
  <c r="C1129" i="1"/>
  <c r="A1129" i="1"/>
  <c r="C1128" i="1"/>
  <c r="A1128" i="1"/>
  <c r="C1127" i="1"/>
  <c r="A1127" i="1"/>
  <c r="C1126" i="1"/>
  <c r="A1126" i="1"/>
  <c r="C1125" i="1"/>
  <c r="A1125" i="1"/>
  <c r="C1124" i="1"/>
  <c r="A1124" i="1"/>
  <c r="C1123" i="1"/>
  <c r="A1123" i="1"/>
  <c r="C1122" i="1"/>
  <c r="A1122" i="1"/>
  <c r="C1121" i="1"/>
  <c r="A1121" i="1"/>
  <c r="C1120" i="1"/>
  <c r="A1120" i="1"/>
  <c r="C1119" i="1"/>
  <c r="A1119" i="1"/>
  <c r="C1118" i="1"/>
  <c r="A1118" i="1"/>
  <c r="C1117" i="1"/>
  <c r="A1117" i="1"/>
  <c r="C1116" i="1"/>
  <c r="A1116" i="1"/>
  <c r="C1115" i="1"/>
  <c r="A1115" i="1"/>
  <c r="C1114" i="1"/>
  <c r="A1114" i="1"/>
  <c r="C1113" i="1"/>
  <c r="A1113" i="1"/>
  <c r="C1112" i="1"/>
  <c r="A1112" i="1"/>
  <c r="C1111" i="1"/>
  <c r="A1111" i="1"/>
  <c r="C1110" i="1"/>
  <c r="A1110" i="1"/>
  <c r="C1109" i="1"/>
  <c r="A1109" i="1"/>
  <c r="C1108" i="1"/>
  <c r="A1108" i="1"/>
  <c r="C1107" i="1"/>
  <c r="A1107" i="1"/>
  <c r="C1106" i="1"/>
  <c r="A1106" i="1"/>
  <c r="C1105" i="1"/>
  <c r="A1105" i="1"/>
  <c r="C1104" i="1"/>
  <c r="A1104" i="1"/>
  <c r="C1103" i="1"/>
  <c r="A1103" i="1"/>
  <c r="C1102" i="1"/>
  <c r="A1102" i="1"/>
  <c r="C1101" i="1"/>
  <c r="A1101" i="1"/>
  <c r="C1100" i="1"/>
  <c r="A1100" i="1"/>
  <c r="C1099" i="1"/>
  <c r="A1099" i="1"/>
  <c r="C1098" i="1"/>
  <c r="A1098" i="1"/>
  <c r="C1097" i="1"/>
  <c r="A1097" i="1"/>
  <c r="C1096" i="1"/>
  <c r="A1096" i="1"/>
  <c r="C1095" i="1"/>
  <c r="A1095" i="1"/>
  <c r="C1094" i="1"/>
  <c r="A1094" i="1"/>
  <c r="C1093" i="1"/>
  <c r="A1093" i="1"/>
  <c r="C1092" i="1"/>
  <c r="A1092" i="1"/>
  <c r="C1091" i="1"/>
  <c r="A1091" i="1"/>
  <c r="C1090" i="1"/>
  <c r="A1090" i="1"/>
  <c r="C1089" i="1"/>
  <c r="A1089" i="1"/>
  <c r="C1088" i="1"/>
  <c r="A1088" i="1"/>
  <c r="C1087" i="1"/>
  <c r="A1087" i="1"/>
  <c r="C1086" i="1"/>
  <c r="A1086" i="1"/>
  <c r="C1085" i="1"/>
  <c r="A1085" i="1"/>
  <c r="C1084" i="1"/>
  <c r="A1084" i="1"/>
  <c r="C1083" i="1"/>
  <c r="A1083" i="1"/>
  <c r="C1082" i="1"/>
  <c r="A1082" i="1"/>
  <c r="C1081" i="1"/>
  <c r="A1081" i="1"/>
  <c r="C1080" i="1"/>
  <c r="A1080" i="1"/>
  <c r="C1079" i="1"/>
  <c r="A1079" i="1"/>
  <c r="C1078" i="1"/>
  <c r="A1078" i="1"/>
  <c r="C1077" i="1"/>
  <c r="A1077" i="1"/>
  <c r="C1076" i="1"/>
  <c r="A1076" i="1"/>
  <c r="C1075" i="1"/>
  <c r="A1075" i="1"/>
  <c r="C1074" i="1"/>
  <c r="A1074" i="1"/>
  <c r="C1073" i="1"/>
  <c r="A1073" i="1"/>
  <c r="C1072" i="1"/>
  <c r="A1072" i="1"/>
  <c r="C1071" i="1"/>
  <c r="A1071" i="1"/>
  <c r="C1070" i="1"/>
  <c r="A1070" i="1"/>
  <c r="C1069" i="1"/>
  <c r="A1069" i="1"/>
  <c r="C1068" i="1"/>
  <c r="A1068" i="1"/>
  <c r="C1067" i="1"/>
  <c r="A1067" i="1"/>
  <c r="C1066" i="1"/>
  <c r="A1066" i="1"/>
  <c r="C1065" i="1"/>
  <c r="A1065" i="1"/>
  <c r="C1064" i="1"/>
  <c r="A1064" i="1"/>
  <c r="C1063" i="1"/>
  <c r="A1063" i="1"/>
  <c r="C1062" i="1"/>
  <c r="A1062" i="1"/>
  <c r="C1061" i="1"/>
  <c r="A1061" i="1"/>
  <c r="C1060" i="1"/>
  <c r="A1060" i="1"/>
  <c r="C1059" i="1"/>
  <c r="A1059" i="1"/>
  <c r="C1058" i="1"/>
  <c r="A1058" i="1"/>
  <c r="C1057" i="1"/>
  <c r="A1057" i="1"/>
  <c r="C1056" i="1"/>
  <c r="A1056" i="1"/>
  <c r="C1055" i="1"/>
  <c r="A1055" i="1"/>
  <c r="C1054" i="1"/>
  <c r="A1054" i="1"/>
  <c r="C1053" i="1"/>
  <c r="A1053" i="1"/>
  <c r="C1052" i="1"/>
  <c r="A1052" i="1"/>
  <c r="C1051" i="1"/>
  <c r="A1051" i="1"/>
  <c r="C1050" i="1"/>
  <c r="A1050" i="1"/>
  <c r="C1049" i="1"/>
  <c r="A1049" i="1"/>
  <c r="C1048" i="1"/>
  <c r="A1048" i="1"/>
  <c r="C1047" i="1"/>
  <c r="A1047" i="1"/>
  <c r="C1046" i="1"/>
  <c r="A1046" i="1"/>
  <c r="C1045" i="1"/>
  <c r="A1045" i="1"/>
  <c r="C1044" i="1"/>
  <c r="A1044" i="1"/>
  <c r="C1043" i="1"/>
  <c r="A1043" i="1"/>
  <c r="C1042" i="1"/>
  <c r="A1042" i="1"/>
  <c r="C1041" i="1"/>
  <c r="A1041" i="1"/>
  <c r="C1040" i="1"/>
  <c r="A1040" i="1"/>
  <c r="C1039" i="1"/>
  <c r="A1039" i="1"/>
  <c r="C1038" i="1"/>
  <c r="A1038" i="1"/>
  <c r="C1037" i="1"/>
  <c r="A1037" i="1"/>
  <c r="C1036" i="1"/>
  <c r="A1036" i="1"/>
  <c r="C1035" i="1"/>
  <c r="A1035" i="1"/>
  <c r="C1034" i="1"/>
  <c r="A1034" i="1"/>
  <c r="C1033" i="1"/>
  <c r="A1033" i="1"/>
  <c r="A1032" i="1"/>
  <c r="C1031" i="1"/>
  <c r="A1031" i="1"/>
  <c r="C1030" i="1"/>
  <c r="A1030" i="1"/>
  <c r="C1029" i="1"/>
  <c r="A1029" i="1"/>
  <c r="C1028" i="1"/>
  <c r="A1028" i="1"/>
  <c r="C1027" i="1"/>
  <c r="A1027" i="1"/>
  <c r="C1026" i="1"/>
  <c r="A1026" i="1"/>
  <c r="C1025" i="1"/>
  <c r="A1025" i="1"/>
  <c r="C1024" i="1"/>
  <c r="A1024" i="1"/>
  <c r="C1023" i="1"/>
  <c r="A1023" i="1"/>
  <c r="C1022" i="1"/>
  <c r="A1022" i="1"/>
  <c r="C1021" i="1"/>
  <c r="A1021" i="1"/>
  <c r="C1020" i="1"/>
  <c r="A1020" i="1"/>
  <c r="C1019" i="1"/>
  <c r="A1019" i="1"/>
  <c r="C1018" i="1"/>
  <c r="A1018" i="1"/>
  <c r="C1017" i="1"/>
  <c r="A1017" i="1"/>
  <c r="C1016" i="1"/>
  <c r="A1016" i="1"/>
  <c r="C1015" i="1"/>
  <c r="A1015" i="1"/>
  <c r="C1014" i="1"/>
  <c r="A1014" i="1"/>
  <c r="C1013" i="1"/>
  <c r="A1013" i="1"/>
  <c r="C1012" i="1"/>
  <c r="A1012" i="1"/>
  <c r="C1011" i="1"/>
  <c r="A1011" i="1"/>
  <c r="C1010" i="1"/>
  <c r="A1010" i="1"/>
  <c r="C1009" i="1"/>
  <c r="A1009" i="1"/>
  <c r="C1008" i="1"/>
  <c r="A1008" i="1"/>
  <c r="C1007" i="1"/>
  <c r="A1007" i="1"/>
  <c r="C1006" i="1"/>
  <c r="A1006" i="1"/>
  <c r="C1005" i="1"/>
  <c r="A1005" i="1"/>
  <c r="C1004" i="1"/>
  <c r="A1004" i="1"/>
  <c r="C1003" i="1"/>
  <c r="A1003" i="1"/>
  <c r="C1002" i="1"/>
  <c r="A1002" i="1"/>
  <c r="C1001" i="1"/>
  <c r="A1001" i="1"/>
  <c r="C1000" i="1"/>
  <c r="A1000" i="1"/>
  <c r="C999" i="1"/>
  <c r="A999" i="1"/>
  <c r="A998" i="1"/>
  <c r="C997" i="1"/>
  <c r="A997" i="1"/>
  <c r="C996" i="1"/>
  <c r="A996" i="1"/>
  <c r="C995" i="1"/>
  <c r="A995" i="1"/>
  <c r="C994" i="1"/>
  <c r="A994" i="1"/>
  <c r="C993" i="1"/>
  <c r="A993" i="1"/>
  <c r="C992" i="1"/>
  <c r="A992" i="1"/>
  <c r="C991" i="1"/>
  <c r="A991" i="1"/>
  <c r="C990" i="1"/>
  <c r="A990" i="1"/>
  <c r="C989" i="1"/>
  <c r="A989" i="1"/>
  <c r="C988" i="1"/>
  <c r="A988" i="1"/>
  <c r="C987" i="1"/>
  <c r="A987" i="1"/>
  <c r="C986" i="1"/>
  <c r="A986" i="1"/>
  <c r="C985" i="1"/>
  <c r="A985" i="1"/>
  <c r="C984" i="1"/>
  <c r="A984" i="1"/>
  <c r="C983" i="1"/>
  <c r="A983" i="1"/>
  <c r="C982" i="1"/>
  <c r="A982" i="1"/>
  <c r="C981" i="1"/>
  <c r="A981" i="1"/>
  <c r="C980" i="1"/>
  <c r="A980" i="1"/>
  <c r="C979" i="1"/>
  <c r="A979" i="1"/>
  <c r="C978" i="1"/>
  <c r="A978" i="1"/>
  <c r="C977" i="1"/>
  <c r="A977" i="1"/>
  <c r="C976" i="1"/>
  <c r="A976" i="1"/>
  <c r="C975" i="1"/>
  <c r="A975" i="1"/>
  <c r="C974" i="1"/>
  <c r="A974" i="1"/>
  <c r="C973" i="1"/>
  <c r="A973" i="1"/>
  <c r="C972" i="1"/>
  <c r="A972" i="1"/>
  <c r="C971" i="1"/>
  <c r="A971" i="1"/>
  <c r="C970" i="1"/>
  <c r="A970" i="1"/>
  <c r="C969" i="1"/>
  <c r="A969" i="1"/>
  <c r="C968" i="1"/>
  <c r="A968" i="1"/>
  <c r="C967" i="1"/>
  <c r="A967" i="1"/>
  <c r="C966" i="1"/>
  <c r="A966" i="1"/>
  <c r="C965" i="1"/>
  <c r="A965" i="1"/>
  <c r="C964" i="1"/>
  <c r="A964" i="1"/>
  <c r="C963" i="1"/>
  <c r="A963" i="1"/>
  <c r="C962" i="1"/>
  <c r="A962" i="1"/>
  <c r="C961" i="1"/>
  <c r="A961" i="1"/>
  <c r="C960" i="1"/>
  <c r="A960" i="1"/>
  <c r="C959" i="1"/>
  <c r="A959" i="1"/>
  <c r="C958" i="1"/>
  <c r="A958" i="1"/>
  <c r="C957" i="1"/>
  <c r="A957" i="1"/>
  <c r="C956" i="1"/>
  <c r="A956" i="1"/>
  <c r="C955" i="1"/>
  <c r="A955" i="1"/>
  <c r="C954" i="1"/>
  <c r="A954" i="1"/>
  <c r="C953" i="1"/>
  <c r="A953" i="1"/>
  <c r="C952" i="1"/>
  <c r="A952" i="1"/>
  <c r="C951" i="1"/>
  <c r="A951" i="1"/>
  <c r="C950" i="1"/>
  <c r="A950" i="1"/>
  <c r="C949" i="1"/>
  <c r="A949" i="1"/>
  <c r="C948" i="1"/>
  <c r="A948" i="1"/>
  <c r="C947" i="1"/>
  <c r="A947" i="1"/>
  <c r="C946" i="1"/>
  <c r="A946" i="1"/>
  <c r="C945" i="1"/>
  <c r="A945" i="1"/>
  <c r="C944" i="1"/>
  <c r="A944" i="1"/>
  <c r="C943" i="1"/>
  <c r="A943" i="1"/>
  <c r="C942" i="1"/>
  <c r="A942" i="1"/>
  <c r="C941" i="1"/>
  <c r="A941" i="1"/>
  <c r="C940" i="1"/>
  <c r="A940" i="1"/>
  <c r="C939" i="1"/>
  <c r="A939" i="1"/>
  <c r="C938" i="1"/>
  <c r="A938" i="1"/>
  <c r="C937" i="1"/>
  <c r="A937" i="1"/>
  <c r="C936" i="1"/>
  <c r="A936" i="1"/>
  <c r="C935" i="1"/>
  <c r="A935" i="1"/>
  <c r="C934" i="1"/>
  <c r="A934" i="1"/>
  <c r="C933" i="1"/>
  <c r="A933" i="1"/>
  <c r="C932" i="1"/>
  <c r="A932" i="1"/>
  <c r="C931" i="1"/>
  <c r="A931" i="1"/>
  <c r="C930" i="1"/>
  <c r="A930" i="1"/>
  <c r="C929" i="1"/>
  <c r="A929" i="1"/>
  <c r="C928" i="1"/>
  <c r="A928" i="1"/>
  <c r="C927" i="1"/>
  <c r="A927" i="1"/>
  <c r="C926" i="1"/>
  <c r="A926" i="1"/>
  <c r="C925" i="1"/>
  <c r="A925" i="1"/>
  <c r="C924" i="1"/>
  <c r="A924" i="1"/>
  <c r="C923" i="1"/>
  <c r="A923" i="1"/>
  <c r="C922" i="1"/>
  <c r="A922" i="1"/>
  <c r="C921" i="1"/>
  <c r="A921" i="1"/>
  <c r="C920" i="1"/>
  <c r="A920" i="1"/>
  <c r="C919" i="1"/>
  <c r="A919" i="1"/>
  <c r="C918" i="1"/>
  <c r="A918" i="1"/>
  <c r="C917" i="1"/>
  <c r="A917" i="1"/>
  <c r="C916" i="1"/>
  <c r="A916" i="1"/>
  <c r="C915" i="1"/>
  <c r="A915" i="1"/>
  <c r="C914" i="1"/>
  <c r="A914" i="1"/>
  <c r="C913" i="1"/>
  <c r="A913" i="1"/>
  <c r="C912" i="1"/>
  <c r="A912" i="1"/>
  <c r="C911" i="1"/>
  <c r="A911" i="1"/>
  <c r="C910" i="1"/>
  <c r="A910" i="1"/>
  <c r="C909" i="1"/>
  <c r="A909" i="1"/>
  <c r="C908" i="1"/>
  <c r="A908" i="1"/>
  <c r="C907" i="1"/>
  <c r="A907" i="1"/>
  <c r="C906" i="1"/>
  <c r="A906" i="1"/>
  <c r="C905" i="1"/>
  <c r="A905" i="1"/>
  <c r="C904" i="1"/>
  <c r="A904" i="1"/>
  <c r="C903" i="1"/>
  <c r="A903" i="1"/>
  <c r="C902" i="1"/>
  <c r="A902" i="1"/>
  <c r="C901" i="1"/>
  <c r="A901" i="1"/>
  <c r="C900" i="1"/>
  <c r="A900" i="1"/>
  <c r="C899" i="1"/>
  <c r="A899" i="1"/>
  <c r="C898" i="1"/>
  <c r="A898" i="1"/>
  <c r="C897" i="1"/>
  <c r="A897" i="1"/>
  <c r="C896" i="1"/>
  <c r="A896" i="1"/>
  <c r="C895" i="1"/>
  <c r="A895" i="1"/>
  <c r="C894" i="1"/>
  <c r="A894" i="1"/>
  <c r="C893" i="1"/>
  <c r="A893" i="1"/>
  <c r="C892" i="1"/>
  <c r="A892" i="1"/>
  <c r="C891" i="1"/>
  <c r="A891" i="1"/>
  <c r="C890" i="1"/>
  <c r="A890" i="1"/>
  <c r="C889" i="1"/>
  <c r="A889" i="1"/>
  <c r="C888" i="1"/>
  <c r="A888" i="1"/>
  <c r="C887" i="1"/>
  <c r="A887" i="1"/>
  <c r="C886" i="1"/>
  <c r="A886" i="1"/>
  <c r="C885" i="1"/>
  <c r="A885" i="1"/>
  <c r="C884" i="1"/>
  <c r="A884" i="1"/>
  <c r="C883" i="1"/>
  <c r="A883" i="1"/>
  <c r="C882" i="1"/>
  <c r="A882" i="1"/>
  <c r="C881" i="1"/>
  <c r="A881" i="1"/>
  <c r="C880" i="1"/>
  <c r="A880" i="1"/>
  <c r="C879" i="1"/>
  <c r="A879" i="1"/>
  <c r="C878" i="1"/>
  <c r="A878" i="1"/>
  <c r="C877" i="1"/>
  <c r="A877" i="1"/>
  <c r="C876" i="1"/>
  <c r="A876" i="1"/>
  <c r="C875" i="1"/>
  <c r="A875" i="1"/>
  <c r="C874" i="1"/>
  <c r="A874" i="1"/>
  <c r="C873" i="1"/>
  <c r="A873" i="1"/>
  <c r="C872" i="1"/>
  <c r="A872" i="1"/>
  <c r="C871" i="1"/>
  <c r="A871" i="1"/>
  <c r="C870" i="1"/>
  <c r="A870" i="1"/>
  <c r="C869" i="1"/>
  <c r="A869" i="1"/>
  <c r="C868" i="1"/>
  <c r="A868" i="1"/>
  <c r="C867" i="1"/>
  <c r="A867" i="1"/>
  <c r="C866" i="1"/>
  <c r="A866" i="1"/>
  <c r="C865" i="1"/>
  <c r="A865" i="1"/>
  <c r="C864" i="1"/>
  <c r="A864" i="1"/>
  <c r="C863" i="1"/>
  <c r="A863" i="1"/>
  <c r="C862" i="1"/>
  <c r="A862" i="1"/>
  <c r="C861" i="1"/>
  <c r="A861" i="1"/>
  <c r="C860" i="1"/>
  <c r="A860" i="1"/>
  <c r="C859" i="1"/>
  <c r="A859" i="1"/>
  <c r="C858" i="1"/>
  <c r="A858" i="1"/>
  <c r="C857" i="1"/>
  <c r="A857" i="1"/>
  <c r="C856" i="1"/>
  <c r="A856" i="1"/>
  <c r="C855" i="1"/>
  <c r="A855" i="1"/>
  <c r="C854" i="1"/>
  <c r="A854" i="1"/>
  <c r="C853" i="1"/>
  <c r="A853" i="1"/>
  <c r="C852" i="1"/>
  <c r="A852" i="1"/>
  <c r="C851" i="1"/>
  <c r="A851" i="1"/>
  <c r="C850" i="1"/>
  <c r="A850" i="1"/>
  <c r="C849" i="1"/>
  <c r="A849" i="1"/>
  <c r="C848" i="1"/>
  <c r="A848" i="1"/>
  <c r="C847" i="1"/>
  <c r="A847" i="1"/>
  <c r="C846" i="1"/>
  <c r="A846" i="1"/>
  <c r="C845" i="1"/>
  <c r="A845" i="1"/>
  <c r="C844" i="1"/>
  <c r="A844" i="1"/>
  <c r="C843" i="1"/>
  <c r="A843" i="1"/>
  <c r="C842" i="1"/>
  <c r="A842" i="1"/>
  <c r="C841" i="1"/>
  <c r="A841" i="1"/>
  <c r="C840" i="1"/>
  <c r="A840" i="1"/>
  <c r="C839" i="1"/>
  <c r="A839" i="1"/>
  <c r="C838" i="1"/>
  <c r="A838" i="1"/>
  <c r="C837" i="1"/>
  <c r="A837" i="1"/>
  <c r="C836" i="1"/>
  <c r="A836" i="1"/>
  <c r="C835" i="1"/>
  <c r="A835" i="1"/>
  <c r="C834" i="1"/>
  <c r="A834" i="1"/>
  <c r="C833" i="1"/>
  <c r="A833" i="1"/>
  <c r="C832" i="1"/>
  <c r="A832" i="1"/>
  <c r="C831" i="1"/>
  <c r="A831" i="1"/>
  <c r="C830" i="1"/>
  <c r="A830" i="1"/>
  <c r="C829" i="1"/>
  <c r="A829" i="1"/>
  <c r="C828" i="1"/>
  <c r="A828" i="1"/>
  <c r="C827" i="1"/>
  <c r="A827" i="1"/>
  <c r="C826" i="1"/>
  <c r="A826" i="1"/>
  <c r="C825" i="1"/>
  <c r="A825" i="1"/>
  <c r="C824" i="1"/>
  <c r="A824" i="1"/>
  <c r="C823" i="1"/>
  <c r="A823" i="1"/>
  <c r="C822" i="1"/>
  <c r="A822" i="1"/>
  <c r="C821" i="1"/>
  <c r="A821" i="1"/>
  <c r="C820" i="1"/>
  <c r="A820" i="1"/>
  <c r="C819" i="1"/>
  <c r="A819" i="1"/>
  <c r="A818" i="1"/>
  <c r="C817" i="1"/>
  <c r="A817" i="1"/>
  <c r="C816" i="1"/>
  <c r="A816" i="1"/>
  <c r="C815" i="1"/>
  <c r="A815" i="1"/>
  <c r="C814" i="1"/>
  <c r="A814" i="1"/>
  <c r="C813" i="1"/>
  <c r="A813" i="1"/>
  <c r="A812" i="1"/>
  <c r="C811" i="1"/>
  <c r="A811" i="1"/>
  <c r="C810" i="1"/>
  <c r="A810" i="1"/>
  <c r="C809" i="1"/>
  <c r="A809" i="1"/>
  <c r="C808" i="1"/>
  <c r="A808" i="1"/>
  <c r="C807" i="1"/>
  <c r="A807" i="1"/>
  <c r="C806" i="1"/>
  <c r="A806" i="1"/>
  <c r="C805" i="1"/>
  <c r="A805" i="1"/>
  <c r="C804" i="1"/>
  <c r="A804" i="1"/>
  <c r="C803" i="1"/>
  <c r="A803" i="1"/>
  <c r="C802" i="1"/>
  <c r="A802" i="1"/>
  <c r="C801" i="1"/>
  <c r="A801" i="1"/>
  <c r="C800" i="1"/>
  <c r="A800" i="1"/>
  <c r="C799" i="1"/>
  <c r="A799" i="1"/>
  <c r="C798" i="1"/>
  <c r="A798" i="1"/>
  <c r="C797" i="1"/>
  <c r="A797" i="1"/>
  <c r="C796" i="1"/>
  <c r="A796" i="1"/>
  <c r="C795" i="1"/>
  <c r="A795" i="1"/>
  <c r="C794" i="1"/>
  <c r="A794" i="1"/>
  <c r="C793" i="1"/>
  <c r="A793" i="1"/>
  <c r="C792" i="1"/>
  <c r="A792" i="1"/>
  <c r="C791" i="1"/>
  <c r="A791" i="1"/>
  <c r="C790" i="1"/>
  <c r="A790" i="1"/>
  <c r="C789" i="1"/>
  <c r="A789" i="1"/>
  <c r="C788" i="1"/>
  <c r="A788" i="1"/>
  <c r="C787" i="1"/>
  <c r="A787" i="1"/>
  <c r="C786" i="1"/>
  <c r="A786" i="1"/>
  <c r="C785" i="1"/>
  <c r="A785" i="1"/>
  <c r="C784" i="1"/>
  <c r="A784" i="1"/>
  <c r="C783" i="1"/>
  <c r="A783" i="1"/>
  <c r="C782" i="1"/>
  <c r="A782" i="1"/>
  <c r="C781" i="1"/>
  <c r="A781" i="1"/>
  <c r="C780" i="1"/>
  <c r="A780" i="1"/>
  <c r="C779" i="1"/>
  <c r="A779" i="1"/>
  <c r="C778" i="1"/>
  <c r="A778" i="1"/>
  <c r="C777" i="1"/>
  <c r="A777" i="1"/>
  <c r="C776" i="1"/>
  <c r="A776" i="1"/>
  <c r="C775" i="1"/>
  <c r="A775" i="1"/>
  <c r="C774" i="1"/>
  <c r="A774" i="1"/>
  <c r="C773" i="1"/>
  <c r="A773" i="1"/>
  <c r="C772" i="1"/>
  <c r="A772" i="1"/>
  <c r="C771" i="1"/>
  <c r="A771" i="1"/>
  <c r="C770" i="1"/>
  <c r="A770" i="1"/>
  <c r="C769" i="1"/>
  <c r="A769" i="1"/>
  <c r="C768" i="1"/>
  <c r="A768" i="1"/>
  <c r="C767" i="1"/>
  <c r="A767" i="1"/>
  <c r="C766" i="1"/>
  <c r="A766" i="1"/>
  <c r="C765" i="1"/>
  <c r="A765" i="1"/>
  <c r="C764" i="1"/>
  <c r="A764" i="1"/>
  <c r="C763" i="1"/>
  <c r="A763" i="1"/>
  <c r="C762" i="1"/>
  <c r="A762" i="1"/>
  <c r="C761" i="1"/>
  <c r="A761" i="1"/>
  <c r="C760" i="1"/>
  <c r="A760" i="1"/>
  <c r="C759" i="1"/>
  <c r="A759" i="1"/>
  <c r="C758" i="1"/>
  <c r="A758" i="1"/>
  <c r="C757" i="1"/>
  <c r="A757" i="1"/>
  <c r="C756" i="1"/>
  <c r="A756" i="1"/>
  <c r="C755" i="1"/>
  <c r="A755" i="1"/>
  <c r="C754" i="1"/>
  <c r="A754" i="1"/>
  <c r="C753" i="1"/>
  <c r="A753" i="1"/>
  <c r="C752" i="1"/>
  <c r="A752" i="1"/>
  <c r="C751" i="1"/>
  <c r="A751" i="1"/>
  <c r="C750" i="1"/>
  <c r="A750" i="1"/>
  <c r="C749" i="1"/>
  <c r="A749" i="1"/>
  <c r="C748" i="1"/>
  <c r="A748" i="1"/>
  <c r="C747" i="1"/>
  <c r="A747" i="1"/>
  <c r="C746" i="1"/>
  <c r="A746" i="1"/>
  <c r="C745" i="1"/>
  <c r="A745" i="1"/>
  <c r="C744" i="1"/>
  <c r="A744" i="1"/>
  <c r="C743" i="1"/>
  <c r="A743" i="1"/>
  <c r="C742" i="1"/>
  <c r="A742" i="1"/>
  <c r="C741" i="1"/>
  <c r="A741" i="1"/>
  <c r="C740" i="1"/>
  <c r="A740" i="1"/>
  <c r="C739" i="1"/>
  <c r="A739" i="1"/>
  <c r="C738" i="1"/>
  <c r="A738" i="1"/>
  <c r="C737" i="1"/>
  <c r="A737" i="1"/>
  <c r="C736" i="1"/>
  <c r="A736" i="1"/>
  <c r="C735" i="1"/>
  <c r="A735" i="1"/>
  <c r="C734" i="1"/>
  <c r="A734" i="1"/>
  <c r="C733" i="1"/>
  <c r="A733" i="1"/>
  <c r="A732" i="1"/>
  <c r="C731" i="1"/>
  <c r="A731" i="1"/>
  <c r="C730" i="1"/>
  <c r="A730" i="1"/>
  <c r="C729" i="1"/>
  <c r="A729" i="1"/>
  <c r="C728" i="1"/>
  <c r="A728" i="1"/>
  <c r="C727" i="1"/>
  <c r="A727" i="1"/>
  <c r="C726" i="1"/>
  <c r="A726" i="1"/>
  <c r="C725" i="1"/>
  <c r="A725" i="1"/>
  <c r="C724" i="1"/>
  <c r="A724" i="1"/>
  <c r="A723" i="1"/>
  <c r="C722" i="1"/>
  <c r="A722" i="1"/>
  <c r="C721" i="1"/>
  <c r="A721" i="1"/>
  <c r="C720" i="1"/>
  <c r="A720" i="1"/>
  <c r="C719" i="1"/>
  <c r="A719" i="1"/>
  <c r="C718" i="1"/>
  <c r="A718" i="1"/>
  <c r="C717" i="1"/>
  <c r="A717" i="1"/>
  <c r="C716" i="1"/>
  <c r="A716" i="1"/>
  <c r="C715" i="1"/>
  <c r="A715" i="1"/>
  <c r="C714" i="1"/>
  <c r="A714" i="1"/>
  <c r="C713" i="1"/>
  <c r="A713" i="1"/>
  <c r="C712" i="1"/>
  <c r="A712" i="1"/>
  <c r="C711" i="1"/>
  <c r="A711" i="1"/>
  <c r="C710" i="1"/>
  <c r="A710" i="1"/>
  <c r="C709" i="1"/>
  <c r="A709" i="1"/>
  <c r="C708" i="1"/>
  <c r="A708" i="1"/>
  <c r="C707" i="1"/>
  <c r="A707" i="1"/>
  <c r="C706" i="1"/>
  <c r="A706" i="1"/>
  <c r="C705" i="1"/>
  <c r="A705" i="1"/>
  <c r="C704" i="1"/>
  <c r="A704" i="1"/>
  <c r="C703" i="1"/>
  <c r="A703" i="1"/>
  <c r="C702" i="1"/>
  <c r="A702" i="1"/>
  <c r="C701" i="1"/>
  <c r="A701" i="1"/>
  <c r="C700" i="1"/>
  <c r="A700" i="1"/>
  <c r="C699" i="1"/>
  <c r="A699" i="1"/>
  <c r="C698" i="1"/>
  <c r="A698" i="1"/>
  <c r="C697" i="1"/>
  <c r="A697" i="1"/>
  <c r="C696" i="1"/>
  <c r="A696" i="1"/>
  <c r="C695" i="1"/>
  <c r="A695" i="1"/>
  <c r="C694" i="1"/>
  <c r="A694" i="1"/>
  <c r="C693" i="1"/>
  <c r="A693" i="1"/>
  <c r="C692" i="1"/>
  <c r="A692" i="1"/>
  <c r="C691" i="1"/>
  <c r="A691" i="1"/>
  <c r="A690" i="1"/>
  <c r="C689" i="1"/>
  <c r="A689" i="1"/>
  <c r="C688" i="1"/>
  <c r="A688" i="1"/>
  <c r="C687" i="1"/>
  <c r="A687" i="1"/>
  <c r="C686" i="1"/>
  <c r="A686" i="1"/>
  <c r="C685" i="1"/>
  <c r="A685" i="1"/>
  <c r="C684" i="1"/>
  <c r="A684" i="1"/>
  <c r="C683" i="1"/>
  <c r="A683" i="1"/>
  <c r="C682" i="1"/>
  <c r="A682" i="1"/>
  <c r="C681" i="1"/>
  <c r="A681" i="1"/>
  <c r="C680" i="1"/>
  <c r="A680" i="1"/>
  <c r="C679" i="1"/>
  <c r="A679" i="1"/>
  <c r="C678" i="1"/>
  <c r="A678" i="1"/>
  <c r="C677" i="1"/>
  <c r="A677" i="1"/>
  <c r="C676" i="1"/>
  <c r="A676" i="1"/>
  <c r="C675" i="1"/>
  <c r="A675" i="1"/>
  <c r="C674" i="1"/>
  <c r="A674" i="1"/>
  <c r="C673" i="1"/>
  <c r="A673" i="1"/>
  <c r="C672" i="1"/>
  <c r="A672" i="1"/>
  <c r="C671" i="1"/>
  <c r="A671" i="1"/>
  <c r="C670" i="1"/>
  <c r="A670" i="1"/>
  <c r="C669" i="1"/>
  <c r="A669" i="1"/>
  <c r="C668" i="1"/>
  <c r="A668" i="1"/>
  <c r="C667" i="1"/>
  <c r="A667" i="1"/>
  <c r="C666" i="1"/>
  <c r="A666" i="1"/>
  <c r="C665" i="1"/>
  <c r="A665" i="1"/>
  <c r="C664" i="1"/>
  <c r="A664" i="1"/>
  <c r="C663" i="1"/>
  <c r="A663" i="1"/>
  <c r="C662" i="1"/>
  <c r="A662" i="1"/>
  <c r="C661" i="1"/>
  <c r="A661" i="1"/>
  <c r="C660" i="1"/>
  <c r="A660" i="1"/>
  <c r="C659" i="1"/>
  <c r="A659" i="1"/>
  <c r="C658" i="1"/>
  <c r="A658" i="1"/>
  <c r="C657" i="1"/>
  <c r="A657" i="1"/>
  <c r="C656" i="1"/>
  <c r="A656" i="1"/>
  <c r="C655" i="1"/>
  <c r="A655" i="1"/>
  <c r="C654" i="1"/>
  <c r="A654" i="1"/>
  <c r="C653" i="1"/>
  <c r="A653" i="1"/>
  <c r="C652" i="1"/>
  <c r="A652" i="1"/>
  <c r="C651" i="1"/>
  <c r="A651" i="1"/>
  <c r="C650" i="1"/>
  <c r="A650" i="1"/>
  <c r="C649" i="1"/>
  <c r="A649" i="1"/>
  <c r="C648" i="1"/>
  <c r="A648" i="1"/>
  <c r="C647" i="1"/>
  <c r="A647" i="1"/>
  <c r="C646" i="1"/>
  <c r="A646" i="1"/>
  <c r="C645" i="1"/>
  <c r="A645" i="1"/>
  <c r="C644" i="1"/>
  <c r="A644" i="1"/>
  <c r="C643" i="1"/>
  <c r="A643" i="1"/>
  <c r="C642" i="1"/>
  <c r="A642" i="1"/>
  <c r="C641" i="1"/>
  <c r="A641" i="1"/>
  <c r="C640" i="1"/>
  <c r="A640" i="1"/>
  <c r="C639" i="1"/>
  <c r="A639" i="1"/>
  <c r="C638" i="1"/>
  <c r="A638" i="1"/>
  <c r="C637" i="1"/>
  <c r="A637" i="1"/>
  <c r="C636" i="1"/>
  <c r="A636" i="1"/>
  <c r="C635" i="1"/>
  <c r="A635" i="1"/>
  <c r="C634" i="1"/>
  <c r="A634" i="1"/>
  <c r="C633" i="1"/>
  <c r="A633" i="1"/>
  <c r="C632" i="1"/>
  <c r="A632" i="1"/>
  <c r="C631" i="1"/>
  <c r="A631" i="1"/>
  <c r="C630" i="1"/>
  <c r="A630" i="1"/>
  <c r="C629" i="1"/>
  <c r="A629" i="1"/>
  <c r="C628" i="1"/>
  <c r="A628" i="1"/>
  <c r="C627" i="1"/>
  <c r="A627" i="1"/>
  <c r="C626" i="1"/>
  <c r="A626" i="1"/>
  <c r="C625" i="1"/>
  <c r="A625" i="1"/>
  <c r="C624" i="1"/>
  <c r="A624" i="1"/>
  <c r="C623" i="1"/>
  <c r="A623" i="1"/>
  <c r="C622" i="1"/>
  <c r="A622" i="1"/>
  <c r="C621" i="1"/>
  <c r="A621" i="1"/>
  <c r="C620" i="1"/>
  <c r="A620" i="1"/>
  <c r="C619" i="1"/>
  <c r="A619" i="1"/>
  <c r="C618" i="1"/>
  <c r="A618" i="1"/>
  <c r="C617" i="1"/>
  <c r="A617" i="1"/>
  <c r="C616" i="1"/>
  <c r="A616" i="1"/>
  <c r="C615" i="1"/>
  <c r="A615" i="1"/>
  <c r="C614" i="1"/>
  <c r="A614" i="1"/>
  <c r="C613" i="1"/>
  <c r="A613" i="1"/>
  <c r="C612" i="1"/>
  <c r="A612" i="1"/>
  <c r="C611" i="1"/>
  <c r="A611" i="1"/>
  <c r="C610" i="1"/>
  <c r="A610" i="1"/>
  <c r="C609" i="1"/>
  <c r="A609" i="1"/>
  <c r="C608" i="1"/>
  <c r="A608" i="1"/>
  <c r="C607" i="1"/>
  <c r="A607" i="1"/>
  <c r="C606" i="1"/>
  <c r="A606" i="1"/>
  <c r="C605" i="1"/>
  <c r="A605" i="1"/>
  <c r="C604" i="1"/>
  <c r="A604" i="1"/>
  <c r="C603" i="1"/>
  <c r="A603" i="1"/>
  <c r="C602" i="1"/>
  <c r="A602" i="1"/>
  <c r="C601" i="1"/>
  <c r="A601" i="1"/>
  <c r="C600" i="1"/>
  <c r="A600" i="1"/>
  <c r="C599" i="1"/>
  <c r="A599" i="1"/>
  <c r="C598" i="1"/>
  <c r="A598" i="1"/>
  <c r="A597" i="1"/>
  <c r="C596" i="1"/>
  <c r="A596" i="1"/>
  <c r="C595" i="1"/>
  <c r="A595" i="1"/>
  <c r="C594" i="1"/>
  <c r="A594" i="1"/>
  <c r="C593" i="1"/>
  <c r="A593" i="1"/>
  <c r="C592" i="1"/>
  <c r="A592" i="1"/>
  <c r="C591" i="1"/>
  <c r="A591" i="1"/>
  <c r="C590" i="1"/>
  <c r="A590" i="1"/>
  <c r="C589" i="1"/>
  <c r="A589" i="1"/>
  <c r="C588" i="1"/>
  <c r="A588" i="1"/>
  <c r="C587" i="1"/>
  <c r="A587" i="1"/>
  <c r="C586" i="1"/>
  <c r="A586" i="1"/>
  <c r="C585" i="1"/>
  <c r="A585" i="1"/>
  <c r="C584" i="1"/>
  <c r="A584" i="1"/>
  <c r="C583" i="1"/>
  <c r="A583" i="1"/>
  <c r="C582" i="1"/>
  <c r="A582" i="1"/>
  <c r="C581" i="1"/>
  <c r="A581" i="1"/>
  <c r="C580" i="1"/>
  <c r="A580" i="1"/>
  <c r="C579" i="1"/>
  <c r="A579" i="1"/>
  <c r="C578" i="1"/>
  <c r="A578" i="1"/>
  <c r="C577" i="1"/>
  <c r="A577" i="1"/>
  <c r="C576" i="1"/>
  <c r="A576" i="1"/>
  <c r="C575" i="1"/>
  <c r="A575" i="1"/>
  <c r="C574" i="1"/>
  <c r="A574" i="1"/>
  <c r="C573" i="1"/>
  <c r="A573" i="1"/>
  <c r="C572" i="1"/>
  <c r="A572" i="1"/>
  <c r="C571" i="1"/>
  <c r="A571" i="1"/>
  <c r="C570" i="1"/>
  <c r="A570" i="1"/>
  <c r="C569" i="1"/>
  <c r="A569" i="1"/>
  <c r="C568" i="1"/>
  <c r="A568" i="1"/>
  <c r="C567" i="1"/>
  <c r="A567" i="1"/>
  <c r="C566" i="1"/>
  <c r="A566" i="1"/>
  <c r="C565" i="1"/>
  <c r="A565" i="1"/>
  <c r="C564" i="1"/>
  <c r="A564" i="1"/>
  <c r="C563" i="1"/>
  <c r="A563" i="1"/>
  <c r="C562" i="1"/>
  <c r="A562" i="1"/>
  <c r="C561" i="1"/>
  <c r="A561" i="1"/>
  <c r="C560" i="1"/>
  <c r="A560" i="1"/>
  <c r="C559" i="1"/>
  <c r="A559" i="1"/>
  <c r="A558" i="1"/>
  <c r="C557" i="1"/>
  <c r="A557" i="1"/>
  <c r="C556" i="1"/>
  <c r="A556" i="1"/>
  <c r="C555" i="1"/>
  <c r="A555" i="1"/>
  <c r="C554" i="1"/>
  <c r="A554" i="1"/>
  <c r="C553" i="1"/>
  <c r="A553" i="1"/>
  <c r="C552" i="1"/>
  <c r="A552" i="1"/>
  <c r="C551" i="1"/>
  <c r="A551" i="1"/>
  <c r="C550" i="1"/>
  <c r="A550" i="1"/>
  <c r="C549" i="1"/>
  <c r="A549" i="1"/>
  <c r="C548" i="1"/>
  <c r="A548" i="1"/>
  <c r="C547" i="1"/>
  <c r="A547" i="1"/>
  <c r="C546" i="1"/>
  <c r="A546" i="1"/>
  <c r="A545" i="1"/>
  <c r="C544" i="1"/>
  <c r="A544" i="1"/>
  <c r="C543" i="1"/>
  <c r="A543" i="1"/>
  <c r="C542" i="1"/>
  <c r="A542" i="1"/>
  <c r="C541" i="1"/>
  <c r="A541" i="1"/>
  <c r="C540" i="1"/>
  <c r="A540" i="1"/>
  <c r="C539" i="1"/>
  <c r="A539" i="1"/>
  <c r="C538" i="1"/>
  <c r="A538" i="1"/>
  <c r="C537" i="1"/>
  <c r="A537" i="1"/>
  <c r="C536" i="1"/>
  <c r="A536" i="1"/>
  <c r="C535" i="1"/>
  <c r="A535" i="1"/>
  <c r="C534" i="1"/>
  <c r="A534" i="1"/>
  <c r="C533" i="1"/>
  <c r="A533" i="1"/>
  <c r="C532" i="1"/>
  <c r="A532" i="1"/>
  <c r="C531" i="1"/>
  <c r="A531" i="1"/>
  <c r="C530" i="1"/>
  <c r="A530" i="1"/>
  <c r="C529" i="1"/>
  <c r="A529" i="1"/>
  <c r="C528" i="1"/>
  <c r="A528" i="1"/>
  <c r="C527" i="1"/>
  <c r="A527" i="1"/>
  <c r="C526" i="1"/>
  <c r="A526" i="1"/>
  <c r="C525" i="1"/>
  <c r="A525" i="1"/>
  <c r="C524" i="1"/>
  <c r="A524" i="1"/>
  <c r="C523" i="1"/>
  <c r="A523" i="1"/>
  <c r="C522" i="1"/>
  <c r="A522" i="1"/>
  <c r="C521" i="1"/>
  <c r="A521" i="1"/>
  <c r="C520" i="1"/>
  <c r="A520" i="1"/>
  <c r="C519" i="1"/>
  <c r="A519" i="1"/>
  <c r="C518" i="1"/>
  <c r="A518" i="1"/>
  <c r="C517" i="1"/>
  <c r="A517" i="1"/>
  <c r="C516" i="1"/>
  <c r="A516" i="1"/>
  <c r="C515" i="1"/>
  <c r="A515" i="1"/>
  <c r="C514" i="1"/>
  <c r="A514" i="1"/>
  <c r="C513" i="1"/>
  <c r="A513" i="1"/>
  <c r="C512" i="1"/>
  <c r="A512" i="1"/>
  <c r="C511" i="1"/>
  <c r="A511" i="1"/>
  <c r="C510" i="1"/>
  <c r="A510" i="1"/>
  <c r="C509" i="1"/>
  <c r="A509" i="1"/>
  <c r="C508" i="1"/>
  <c r="A508" i="1"/>
  <c r="C507" i="1"/>
  <c r="A507" i="1"/>
  <c r="C506" i="1"/>
  <c r="A506" i="1"/>
  <c r="C505" i="1"/>
  <c r="A505" i="1"/>
  <c r="C504" i="1"/>
  <c r="A504" i="1"/>
  <c r="C503" i="1"/>
  <c r="A503" i="1"/>
  <c r="C502" i="1"/>
  <c r="A502" i="1"/>
  <c r="C501" i="1"/>
  <c r="A501" i="1"/>
  <c r="C500" i="1"/>
  <c r="A500" i="1"/>
  <c r="C499" i="1"/>
  <c r="A499" i="1"/>
  <c r="C498" i="1"/>
  <c r="A498" i="1"/>
  <c r="C497" i="1"/>
  <c r="A497" i="1"/>
  <c r="C496" i="1"/>
  <c r="A496" i="1"/>
  <c r="C495" i="1"/>
  <c r="A495" i="1"/>
  <c r="C494" i="1"/>
  <c r="A494" i="1"/>
  <c r="C493" i="1"/>
  <c r="A493" i="1"/>
  <c r="C492" i="1"/>
  <c r="A492" i="1"/>
  <c r="C491" i="1"/>
  <c r="A491" i="1"/>
  <c r="C490" i="1"/>
  <c r="A490" i="1"/>
  <c r="C489" i="1"/>
  <c r="A489" i="1"/>
  <c r="C488" i="1"/>
  <c r="A488" i="1"/>
  <c r="C487" i="1"/>
  <c r="A487" i="1"/>
  <c r="C486" i="1"/>
  <c r="A486" i="1"/>
  <c r="C485" i="1"/>
  <c r="A485" i="1"/>
  <c r="C484" i="1"/>
  <c r="A484" i="1"/>
  <c r="C483" i="1"/>
  <c r="A483" i="1"/>
  <c r="C482" i="1"/>
  <c r="A482" i="1"/>
  <c r="C481" i="1"/>
  <c r="A481" i="1"/>
  <c r="C480" i="1"/>
  <c r="A480" i="1"/>
  <c r="C479" i="1"/>
  <c r="A479" i="1"/>
  <c r="C478" i="1"/>
  <c r="A478" i="1"/>
  <c r="C477" i="1"/>
  <c r="A477" i="1"/>
  <c r="C476" i="1"/>
  <c r="A476" i="1"/>
  <c r="C475" i="1"/>
  <c r="A475" i="1"/>
  <c r="C474" i="1"/>
  <c r="A474" i="1"/>
  <c r="C473" i="1"/>
  <c r="A473" i="1"/>
  <c r="C472" i="1"/>
  <c r="A472" i="1"/>
  <c r="C471" i="1"/>
  <c r="A471" i="1"/>
  <c r="C470" i="1"/>
  <c r="A470" i="1"/>
  <c r="C469" i="1"/>
  <c r="A469" i="1"/>
  <c r="C468" i="1"/>
  <c r="A468" i="1"/>
  <c r="C467" i="1"/>
  <c r="A467" i="1"/>
  <c r="C466" i="1"/>
  <c r="A466" i="1"/>
  <c r="C465" i="1"/>
  <c r="A465" i="1"/>
  <c r="C464" i="1"/>
  <c r="A464" i="1"/>
  <c r="C463" i="1"/>
  <c r="A463" i="1"/>
  <c r="C462" i="1"/>
  <c r="A462" i="1"/>
  <c r="C461" i="1"/>
  <c r="A461" i="1"/>
  <c r="C460" i="1"/>
  <c r="A460" i="1"/>
  <c r="C459" i="1"/>
  <c r="A459" i="1"/>
  <c r="C458" i="1"/>
  <c r="A458" i="1"/>
  <c r="C457" i="1"/>
  <c r="A457" i="1"/>
  <c r="C456" i="1"/>
  <c r="A456" i="1"/>
  <c r="C455" i="1"/>
  <c r="A455" i="1"/>
  <c r="C454" i="1"/>
  <c r="A454" i="1"/>
  <c r="C453" i="1"/>
  <c r="A453" i="1"/>
  <c r="C452" i="1"/>
  <c r="A452" i="1"/>
  <c r="C451" i="1"/>
  <c r="A451" i="1"/>
  <c r="C450" i="1"/>
  <c r="A450" i="1"/>
  <c r="C449" i="1"/>
  <c r="A449" i="1"/>
  <c r="C448" i="1"/>
  <c r="A448" i="1"/>
  <c r="C447" i="1"/>
  <c r="A447" i="1"/>
  <c r="C446" i="1"/>
  <c r="A446" i="1"/>
  <c r="C445" i="1"/>
  <c r="A445" i="1"/>
  <c r="C444" i="1"/>
  <c r="A444" i="1"/>
  <c r="C443" i="1"/>
  <c r="A443" i="1"/>
  <c r="A442" i="1"/>
  <c r="C441" i="1"/>
  <c r="A441" i="1"/>
  <c r="C440" i="1"/>
  <c r="A440" i="1"/>
  <c r="C439" i="1"/>
  <c r="A439" i="1"/>
  <c r="C438" i="1"/>
  <c r="A438" i="1"/>
  <c r="C437" i="1"/>
  <c r="A437" i="1"/>
  <c r="C436" i="1"/>
  <c r="A436" i="1"/>
  <c r="C435" i="1"/>
  <c r="A435" i="1"/>
  <c r="C434" i="1"/>
  <c r="A434" i="1"/>
  <c r="C433" i="1"/>
  <c r="A433" i="1"/>
  <c r="C432" i="1"/>
  <c r="A432" i="1"/>
  <c r="C431" i="1"/>
  <c r="A431" i="1"/>
  <c r="C430" i="1"/>
  <c r="A430" i="1"/>
  <c r="C429" i="1"/>
  <c r="A429" i="1"/>
  <c r="C428" i="1"/>
  <c r="A428" i="1"/>
  <c r="C427" i="1"/>
  <c r="A427" i="1"/>
  <c r="C426" i="1"/>
  <c r="A426" i="1"/>
  <c r="C425" i="1"/>
  <c r="A425" i="1"/>
  <c r="C424" i="1"/>
  <c r="A424" i="1"/>
  <c r="C423" i="1"/>
  <c r="A423" i="1"/>
  <c r="C422" i="1"/>
  <c r="A422" i="1"/>
  <c r="C421" i="1"/>
  <c r="A421" i="1"/>
  <c r="C420" i="1"/>
  <c r="A420" i="1"/>
  <c r="C419" i="1"/>
  <c r="A419" i="1"/>
  <c r="C418" i="1"/>
  <c r="A418" i="1"/>
  <c r="C417" i="1"/>
  <c r="A417" i="1"/>
  <c r="C416" i="1"/>
  <c r="A416" i="1"/>
  <c r="C415" i="1"/>
  <c r="A415" i="1"/>
  <c r="C414" i="1"/>
  <c r="A414" i="1"/>
  <c r="C413" i="1"/>
  <c r="A413" i="1"/>
  <c r="A412" i="1"/>
  <c r="C411" i="1"/>
  <c r="A411" i="1"/>
  <c r="A410" i="1"/>
  <c r="C409" i="1"/>
  <c r="A409" i="1"/>
  <c r="C408" i="1"/>
  <c r="A408" i="1"/>
  <c r="C407" i="1"/>
  <c r="A407" i="1"/>
  <c r="C406" i="1"/>
  <c r="A406" i="1"/>
  <c r="C405" i="1"/>
  <c r="A405" i="1"/>
  <c r="C404" i="1"/>
  <c r="A404" i="1"/>
  <c r="C403" i="1"/>
  <c r="A403" i="1"/>
  <c r="C402" i="1"/>
  <c r="A402" i="1"/>
  <c r="C401" i="1"/>
  <c r="A401" i="1"/>
  <c r="C400" i="1"/>
  <c r="A400" i="1"/>
  <c r="C399" i="1"/>
  <c r="A399" i="1"/>
  <c r="C398" i="1"/>
  <c r="A398" i="1"/>
  <c r="C397" i="1"/>
  <c r="A397" i="1"/>
  <c r="C396" i="1"/>
  <c r="A396" i="1"/>
  <c r="C395" i="1"/>
  <c r="A395" i="1"/>
  <c r="C394" i="1"/>
  <c r="A394" i="1"/>
  <c r="C393" i="1"/>
  <c r="A393" i="1"/>
  <c r="C392" i="1"/>
  <c r="A392" i="1"/>
  <c r="C391" i="1"/>
  <c r="A391" i="1"/>
  <c r="C390" i="1"/>
  <c r="A390" i="1"/>
  <c r="C389" i="1"/>
  <c r="A389" i="1"/>
  <c r="C388" i="1"/>
  <c r="A388" i="1"/>
  <c r="C387" i="1"/>
  <c r="A387" i="1"/>
  <c r="C386" i="1"/>
  <c r="A386" i="1"/>
  <c r="C385" i="1"/>
  <c r="A385" i="1"/>
  <c r="C384" i="1"/>
  <c r="A384" i="1"/>
  <c r="C383" i="1"/>
  <c r="A383" i="1"/>
  <c r="C382" i="1"/>
  <c r="A382" i="1"/>
  <c r="C381" i="1"/>
  <c r="A381" i="1"/>
  <c r="C380" i="1"/>
  <c r="A380" i="1"/>
  <c r="C379" i="1"/>
  <c r="A379" i="1"/>
  <c r="C378" i="1"/>
  <c r="A378" i="1"/>
  <c r="C377" i="1"/>
  <c r="A377" i="1"/>
  <c r="C376" i="1"/>
  <c r="A376" i="1"/>
  <c r="C375" i="1"/>
  <c r="A375" i="1"/>
  <c r="C374" i="1"/>
  <c r="A374" i="1"/>
  <c r="C373" i="1"/>
  <c r="A373" i="1"/>
  <c r="C372" i="1"/>
  <c r="A372" i="1"/>
  <c r="C371" i="1"/>
  <c r="A371" i="1"/>
  <c r="C370" i="1"/>
  <c r="A370" i="1"/>
  <c r="C369" i="1"/>
  <c r="A369" i="1"/>
  <c r="C368" i="1"/>
  <c r="A368" i="1"/>
  <c r="C367" i="1"/>
  <c r="A367" i="1"/>
  <c r="C366" i="1"/>
  <c r="A366" i="1"/>
  <c r="C365" i="1"/>
  <c r="A365" i="1"/>
  <c r="C364" i="1"/>
  <c r="A364" i="1"/>
  <c r="C363" i="1"/>
  <c r="A363" i="1"/>
  <c r="C362" i="1"/>
  <c r="A362" i="1"/>
  <c r="C361" i="1"/>
  <c r="A361" i="1"/>
  <c r="C360" i="1"/>
  <c r="A360" i="1"/>
  <c r="C359" i="1"/>
  <c r="A359" i="1"/>
  <c r="C358" i="1"/>
  <c r="A358" i="1"/>
  <c r="C357" i="1"/>
  <c r="A357" i="1"/>
  <c r="C356" i="1"/>
  <c r="A356" i="1"/>
  <c r="C355" i="1"/>
  <c r="A355" i="1"/>
  <c r="C354" i="1"/>
  <c r="A354" i="1"/>
  <c r="C353" i="1"/>
  <c r="A353" i="1"/>
  <c r="C352" i="1"/>
  <c r="A352" i="1"/>
  <c r="C351" i="1"/>
  <c r="A351" i="1"/>
  <c r="C350" i="1"/>
  <c r="A350" i="1"/>
  <c r="C349" i="1"/>
  <c r="A349" i="1"/>
  <c r="C348" i="1"/>
  <c r="A348" i="1"/>
  <c r="C347" i="1"/>
  <c r="A347" i="1"/>
  <c r="C346" i="1"/>
  <c r="A346" i="1"/>
  <c r="C345" i="1"/>
  <c r="A345" i="1"/>
  <c r="C344" i="1"/>
  <c r="A344" i="1"/>
  <c r="C343" i="1"/>
  <c r="A343" i="1"/>
  <c r="C342" i="1"/>
  <c r="A342" i="1"/>
  <c r="C341" i="1"/>
  <c r="A341" i="1"/>
  <c r="C340" i="1"/>
  <c r="A340" i="1"/>
  <c r="C339" i="1"/>
  <c r="A339" i="1"/>
  <c r="C338" i="1"/>
  <c r="A338" i="1"/>
  <c r="C337" i="1"/>
  <c r="A337" i="1"/>
  <c r="C336" i="1"/>
  <c r="A336" i="1"/>
  <c r="C335" i="1"/>
  <c r="A335" i="1"/>
  <c r="C334" i="1"/>
  <c r="A334" i="1"/>
  <c r="C333" i="1"/>
  <c r="A333" i="1"/>
  <c r="C332" i="1"/>
  <c r="A332" i="1"/>
  <c r="C331" i="1"/>
  <c r="A331" i="1"/>
  <c r="C330" i="1"/>
  <c r="A330" i="1"/>
  <c r="C329" i="1"/>
  <c r="A329" i="1"/>
  <c r="C328" i="1"/>
  <c r="A328" i="1"/>
  <c r="C327" i="1"/>
  <c r="A327" i="1"/>
  <c r="C326" i="1"/>
  <c r="A326" i="1"/>
  <c r="C325" i="1"/>
  <c r="A325" i="1"/>
  <c r="C324" i="1"/>
  <c r="A324" i="1"/>
  <c r="A323" i="1"/>
  <c r="C322" i="1"/>
  <c r="A322" i="1"/>
  <c r="C321" i="1"/>
  <c r="A321" i="1"/>
  <c r="A320" i="1"/>
  <c r="C319" i="1"/>
  <c r="A319" i="1"/>
  <c r="C318" i="1"/>
  <c r="A318" i="1"/>
  <c r="C317" i="1"/>
  <c r="A317" i="1"/>
  <c r="C316" i="1"/>
  <c r="A316" i="1"/>
  <c r="C315" i="1"/>
  <c r="A315" i="1"/>
  <c r="C314" i="1"/>
  <c r="A314" i="1"/>
  <c r="C313" i="1"/>
  <c r="A313" i="1"/>
  <c r="C312" i="1"/>
  <c r="A312" i="1"/>
  <c r="C311" i="1"/>
  <c r="A311" i="1"/>
  <c r="C310" i="1"/>
  <c r="A310" i="1"/>
  <c r="C309" i="1"/>
  <c r="A309" i="1"/>
  <c r="C308" i="1"/>
  <c r="A308" i="1"/>
  <c r="C307" i="1"/>
  <c r="A307" i="1"/>
  <c r="C306" i="1"/>
  <c r="A306" i="1"/>
  <c r="C305" i="1"/>
  <c r="A305" i="1"/>
  <c r="C304" i="1"/>
  <c r="A304" i="1"/>
  <c r="C303" i="1"/>
  <c r="A303" i="1"/>
  <c r="C302" i="1"/>
  <c r="A302" i="1"/>
  <c r="C301" i="1"/>
  <c r="A301" i="1"/>
  <c r="C300" i="1"/>
  <c r="A300" i="1"/>
  <c r="C299" i="1"/>
  <c r="A299" i="1"/>
  <c r="C298" i="1"/>
  <c r="A298" i="1"/>
  <c r="C297" i="1"/>
  <c r="A297" i="1"/>
  <c r="C296" i="1"/>
  <c r="A296" i="1"/>
  <c r="C295" i="1"/>
  <c r="A295" i="1"/>
  <c r="C294" i="1"/>
  <c r="A294" i="1"/>
  <c r="C293" i="1"/>
  <c r="A293" i="1"/>
  <c r="C292" i="1"/>
  <c r="A292" i="1"/>
  <c r="C291" i="1"/>
  <c r="A291" i="1"/>
  <c r="C290" i="1"/>
  <c r="A290" i="1"/>
  <c r="C289" i="1"/>
  <c r="A289" i="1"/>
  <c r="C288" i="1"/>
  <c r="A288" i="1"/>
  <c r="C287" i="1"/>
  <c r="A287" i="1"/>
  <c r="C286" i="1"/>
  <c r="A286" i="1"/>
  <c r="C285" i="1"/>
  <c r="A285" i="1"/>
  <c r="C284" i="1"/>
  <c r="A284" i="1"/>
  <c r="C283" i="1"/>
  <c r="A283" i="1"/>
  <c r="A282" i="1"/>
  <c r="C281" i="1"/>
  <c r="A281" i="1"/>
  <c r="C280" i="1"/>
  <c r="A280" i="1"/>
  <c r="C279" i="1"/>
  <c r="A279" i="1"/>
  <c r="C278" i="1"/>
  <c r="A278" i="1"/>
  <c r="C277" i="1"/>
  <c r="A277" i="1"/>
  <c r="C276" i="1"/>
  <c r="A276" i="1"/>
  <c r="C275" i="1"/>
  <c r="A275" i="1"/>
  <c r="C274" i="1"/>
  <c r="A274" i="1"/>
  <c r="C273" i="1"/>
  <c r="A273" i="1"/>
  <c r="C272" i="1"/>
  <c r="A272" i="1"/>
  <c r="C271" i="1"/>
  <c r="A271" i="1"/>
  <c r="C270" i="1"/>
  <c r="A270" i="1"/>
  <c r="C269" i="1"/>
  <c r="A269" i="1"/>
  <c r="C268" i="1"/>
  <c r="A268" i="1"/>
  <c r="C267" i="1"/>
  <c r="A267" i="1"/>
  <c r="C266" i="1"/>
  <c r="A266" i="1"/>
  <c r="C265" i="1"/>
  <c r="A265" i="1"/>
  <c r="C264" i="1"/>
  <c r="A264" i="1"/>
  <c r="C263" i="1"/>
  <c r="A263" i="1"/>
  <c r="C262" i="1"/>
  <c r="A262" i="1"/>
  <c r="A261" i="1"/>
  <c r="C260" i="1"/>
  <c r="A260" i="1"/>
  <c r="C259" i="1"/>
  <c r="A259" i="1"/>
  <c r="C258" i="1"/>
  <c r="A258" i="1"/>
  <c r="C257" i="1"/>
  <c r="A257" i="1"/>
  <c r="C256" i="1"/>
  <c r="A256" i="1"/>
  <c r="C255" i="1"/>
  <c r="A255" i="1"/>
  <c r="C254" i="1"/>
  <c r="A254" i="1"/>
  <c r="C253" i="1"/>
  <c r="A253" i="1"/>
  <c r="C252" i="1"/>
  <c r="A252" i="1"/>
  <c r="C251" i="1"/>
  <c r="A251" i="1"/>
  <c r="C250" i="1"/>
  <c r="A250" i="1"/>
  <c r="C249" i="1"/>
  <c r="A249" i="1"/>
  <c r="C248" i="1"/>
  <c r="A248" i="1"/>
  <c r="C247" i="1"/>
  <c r="A247" i="1"/>
  <c r="C246" i="1"/>
  <c r="A246" i="1"/>
  <c r="C245" i="1"/>
  <c r="A245" i="1"/>
  <c r="C244" i="1"/>
  <c r="A244" i="1"/>
  <c r="C243" i="1"/>
  <c r="A243" i="1"/>
  <c r="C242" i="1"/>
  <c r="A242" i="1"/>
  <c r="C241" i="1"/>
  <c r="A241" i="1"/>
  <c r="C240" i="1"/>
  <c r="A240" i="1"/>
  <c r="C239" i="1"/>
  <c r="A239" i="1"/>
  <c r="C238" i="1"/>
  <c r="A238" i="1"/>
  <c r="C237" i="1"/>
  <c r="A237" i="1"/>
  <c r="C236" i="1"/>
  <c r="A236" i="1"/>
  <c r="C235" i="1"/>
  <c r="A235" i="1"/>
  <c r="C234" i="1"/>
  <c r="A234" i="1"/>
  <c r="C233" i="1"/>
  <c r="A233" i="1"/>
  <c r="C232" i="1"/>
  <c r="A232" i="1"/>
  <c r="C231" i="1"/>
  <c r="A231" i="1"/>
  <c r="C230" i="1"/>
  <c r="A230" i="1"/>
  <c r="C229" i="1"/>
  <c r="A229" i="1"/>
  <c r="C228" i="1"/>
  <c r="A228" i="1"/>
  <c r="C227" i="1"/>
  <c r="A227" i="1"/>
  <c r="C226" i="1"/>
  <c r="A226" i="1"/>
  <c r="C225" i="1"/>
  <c r="A225" i="1"/>
  <c r="C224" i="1"/>
  <c r="A224" i="1"/>
  <c r="C223" i="1"/>
  <c r="A223" i="1"/>
  <c r="C222" i="1"/>
  <c r="A222" i="1"/>
  <c r="C221" i="1"/>
  <c r="A221" i="1"/>
  <c r="C220" i="1"/>
  <c r="A220" i="1"/>
  <c r="C219" i="1"/>
  <c r="A219" i="1"/>
  <c r="C218" i="1"/>
  <c r="A218" i="1"/>
  <c r="C217" i="1"/>
  <c r="A217" i="1"/>
  <c r="C216" i="1"/>
  <c r="A216" i="1"/>
  <c r="C215" i="1"/>
  <c r="A215" i="1"/>
  <c r="C214" i="1"/>
  <c r="A214" i="1"/>
  <c r="C213" i="1"/>
  <c r="A213" i="1"/>
  <c r="C212" i="1"/>
  <c r="A212" i="1"/>
  <c r="C211" i="1"/>
  <c r="A211" i="1"/>
  <c r="C210" i="1"/>
  <c r="A210" i="1"/>
  <c r="C209" i="1"/>
  <c r="A209" i="1"/>
  <c r="C208" i="1"/>
  <c r="A208" i="1"/>
  <c r="C207" i="1"/>
  <c r="A207" i="1"/>
  <c r="C206" i="1"/>
  <c r="A206" i="1"/>
  <c r="C205" i="1"/>
  <c r="A205" i="1"/>
  <c r="C204" i="1"/>
  <c r="A204" i="1"/>
  <c r="C203" i="1"/>
  <c r="A203" i="1"/>
  <c r="C202" i="1"/>
  <c r="A202" i="1"/>
  <c r="C201" i="1"/>
  <c r="A201" i="1"/>
  <c r="C200" i="1"/>
  <c r="A200" i="1"/>
  <c r="C199" i="1"/>
  <c r="A199" i="1"/>
  <c r="C198" i="1"/>
  <c r="A198" i="1"/>
  <c r="C197" i="1"/>
  <c r="A197" i="1"/>
  <c r="C196" i="1"/>
  <c r="A196" i="1"/>
  <c r="C195" i="1"/>
  <c r="A195" i="1"/>
  <c r="C194" i="1"/>
  <c r="A194" i="1"/>
  <c r="C193" i="1"/>
  <c r="A193" i="1"/>
  <c r="C192" i="1"/>
  <c r="A192" i="1"/>
  <c r="C191" i="1"/>
  <c r="A191" i="1"/>
  <c r="C190" i="1"/>
  <c r="A190" i="1"/>
  <c r="C189" i="1"/>
  <c r="A189" i="1"/>
  <c r="C188" i="1"/>
  <c r="A188" i="1"/>
  <c r="C187" i="1"/>
  <c r="A187" i="1"/>
  <c r="C186" i="1"/>
  <c r="A186" i="1"/>
  <c r="C185" i="1"/>
  <c r="A185" i="1"/>
  <c r="C184" i="1"/>
  <c r="A184" i="1"/>
  <c r="C183" i="1"/>
  <c r="A183" i="1"/>
  <c r="C182" i="1"/>
  <c r="A182" i="1"/>
  <c r="C181" i="1"/>
  <c r="A181" i="1"/>
  <c r="C180" i="1"/>
  <c r="A180" i="1"/>
  <c r="C179" i="1"/>
  <c r="A179" i="1"/>
  <c r="C178" i="1"/>
  <c r="A178" i="1"/>
  <c r="C177" i="1"/>
  <c r="A177" i="1"/>
  <c r="C176" i="1"/>
  <c r="A176" i="1"/>
  <c r="C175" i="1"/>
  <c r="A175" i="1"/>
  <c r="C174" i="1"/>
  <c r="A174" i="1"/>
  <c r="C173" i="1"/>
  <c r="A173" i="1"/>
  <c r="C172" i="1"/>
  <c r="A172" i="1"/>
  <c r="C171" i="1"/>
  <c r="A171" i="1"/>
  <c r="C170" i="1"/>
  <c r="A170" i="1"/>
  <c r="C169" i="1"/>
  <c r="A169" i="1"/>
  <c r="C168" i="1"/>
  <c r="A168" i="1"/>
  <c r="C167" i="1"/>
  <c r="A167" i="1"/>
  <c r="C166" i="1"/>
  <c r="A166" i="1"/>
  <c r="C165" i="1"/>
  <c r="A165" i="1"/>
  <c r="C164" i="1"/>
  <c r="A164" i="1"/>
  <c r="C163" i="1"/>
  <c r="A163" i="1"/>
  <c r="C162" i="1"/>
  <c r="A162" i="1"/>
  <c r="C161" i="1"/>
  <c r="A161" i="1"/>
  <c r="C160" i="1"/>
  <c r="A160" i="1"/>
  <c r="C159" i="1"/>
  <c r="A159" i="1"/>
  <c r="C158" i="1"/>
  <c r="A158" i="1"/>
  <c r="C157" i="1"/>
  <c r="A157" i="1"/>
  <c r="C156" i="1"/>
  <c r="A156" i="1"/>
  <c r="C155" i="1"/>
  <c r="A155" i="1"/>
  <c r="C154" i="1"/>
  <c r="A154" i="1"/>
  <c r="C153" i="1"/>
  <c r="A153" i="1"/>
  <c r="C152" i="1"/>
  <c r="A152" i="1"/>
  <c r="C151" i="1"/>
  <c r="A151" i="1"/>
  <c r="C150" i="1"/>
  <c r="A150" i="1"/>
  <c r="C149" i="1"/>
  <c r="A149" i="1"/>
  <c r="C148" i="1"/>
  <c r="A148" i="1"/>
  <c r="C147" i="1"/>
  <c r="A147" i="1"/>
  <c r="C146" i="1"/>
  <c r="A146" i="1"/>
  <c r="C145" i="1"/>
  <c r="A145" i="1"/>
  <c r="C144" i="1"/>
  <c r="A144" i="1"/>
  <c r="C143" i="1"/>
  <c r="A143" i="1"/>
  <c r="C142" i="1"/>
  <c r="A142" i="1"/>
  <c r="C141" i="1"/>
  <c r="A141" i="1"/>
  <c r="C140" i="1"/>
  <c r="A140" i="1"/>
  <c r="C139" i="1"/>
  <c r="A139" i="1"/>
  <c r="C138" i="1"/>
  <c r="A138" i="1"/>
  <c r="C137" i="1"/>
  <c r="A137" i="1"/>
  <c r="C136" i="1"/>
  <c r="A136" i="1"/>
  <c r="C135" i="1"/>
  <c r="A135" i="1"/>
  <c r="C134" i="1"/>
  <c r="A134" i="1"/>
  <c r="C133" i="1"/>
  <c r="A133" i="1"/>
  <c r="C132" i="1"/>
  <c r="A132" i="1"/>
  <c r="C131" i="1"/>
  <c r="A131" i="1"/>
  <c r="C130" i="1"/>
  <c r="A130" i="1"/>
  <c r="C129" i="1"/>
  <c r="A129" i="1"/>
  <c r="C128" i="1"/>
  <c r="A128" i="1"/>
  <c r="C127" i="1"/>
  <c r="A127" i="1"/>
  <c r="C126" i="1"/>
  <c r="A126" i="1"/>
  <c r="C125" i="1"/>
  <c r="A125" i="1"/>
  <c r="C124" i="1"/>
  <c r="A124" i="1"/>
  <c r="C123" i="1"/>
  <c r="A123" i="1"/>
  <c r="C122" i="1"/>
  <c r="A122" i="1"/>
  <c r="C121" i="1"/>
  <c r="A121" i="1"/>
  <c r="C120" i="1"/>
  <c r="A120" i="1"/>
  <c r="C119" i="1"/>
  <c r="A119" i="1"/>
  <c r="C118" i="1"/>
  <c r="A118" i="1"/>
  <c r="C117" i="1"/>
  <c r="A117" i="1"/>
  <c r="C116" i="1"/>
  <c r="A116" i="1"/>
  <c r="C115" i="1"/>
  <c r="A115" i="1"/>
  <c r="C114" i="1"/>
  <c r="A114" i="1"/>
  <c r="C113" i="1"/>
  <c r="A113" i="1"/>
  <c r="C112" i="1"/>
  <c r="A112" i="1"/>
  <c r="C111" i="1"/>
  <c r="A111" i="1"/>
  <c r="C110" i="1"/>
  <c r="A110" i="1"/>
  <c r="C109" i="1"/>
  <c r="A109" i="1"/>
  <c r="C108" i="1"/>
  <c r="A108" i="1"/>
  <c r="C107" i="1"/>
  <c r="A107" i="1"/>
  <c r="C106" i="1"/>
  <c r="A106" i="1"/>
  <c r="C105" i="1"/>
  <c r="A105" i="1"/>
  <c r="C104" i="1"/>
  <c r="A104" i="1"/>
  <c r="C103" i="1"/>
  <c r="A103" i="1"/>
  <c r="C102" i="1"/>
  <c r="A102" i="1"/>
  <c r="C101" i="1"/>
  <c r="A101" i="1"/>
  <c r="C100" i="1"/>
  <c r="A100" i="1"/>
  <c r="C99" i="1"/>
  <c r="A99" i="1"/>
  <c r="C98" i="1"/>
  <c r="A98" i="1"/>
  <c r="C97" i="1"/>
  <c r="A97" i="1"/>
  <c r="C96" i="1"/>
  <c r="A96" i="1"/>
  <c r="C95" i="1"/>
  <c r="A95" i="1"/>
  <c r="C94" i="1"/>
  <c r="A94" i="1"/>
  <c r="C93" i="1"/>
  <c r="A93" i="1"/>
  <c r="C92" i="1"/>
  <c r="A92" i="1"/>
  <c r="C91" i="1"/>
  <c r="A91" i="1"/>
  <c r="C90" i="1"/>
  <c r="A90" i="1"/>
  <c r="C89" i="1"/>
  <c r="A89" i="1"/>
  <c r="C88" i="1"/>
  <c r="A88" i="1"/>
  <c r="C87" i="1"/>
  <c r="A87" i="1"/>
  <c r="C86" i="1"/>
  <c r="A86" i="1"/>
  <c r="C85" i="1"/>
  <c r="A85" i="1"/>
  <c r="C84" i="1"/>
  <c r="A84" i="1"/>
  <c r="C83" i="1"/>
  <c r="A83" i="1"/>
  <c r="C82" i="1"/>
  <c r="A82" i="1"/>
  <c r="C81" i="1"/>
  <c r="A81" i="1"/>
  <c r="C80" i="1"/>
  <c r="A80" i="1"/>
  <c r="C79" i="1"/>
  <c r="A79" i="1"/>
  <c r="C78" i="1"/>
  <c r="A78" i="1"/>
  <c r="C77" i="1"/>
  <c r="A77" i="1"/>
  <c r="C76" i="1"/>
  <c r="A76" i="1"/>
  <c r="C75" i="1"/>
  <c r="A75" i="1"/>
  <c r="C74" i="1"/>
  <c r="A74" i="1"/>
  <c r="C73" i="1"/>
  <c r="A73" i="1"/>
  <c r="C72" i="1"/>
  <c r="A72" i="1"/>
  <c r="C71" i="1"/>
  <c r="A71" i="1"/>
  <c r="C70" i="1"/>
  <c r="A70" i="1"/>
  <c r="C69" i="1"/>
  <c r="A69" i="1"/>
  <c r="C68" i="1"/>
  <c r="A68" i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A57" i="1"/>
  <c r="C56" i="1"/>
  <c r="A56" i="1"/>
  <c r="C55" i="1"/>
  <c r="A55" i="1"/>
  <c r="C54" i="1"/>
  <c r="A54" i="1"/>
  <c r="C53" i="1"/>
  <c r="A53" i="1"/>
  <c r="C52" i="1"/>
  <c r="A52" i="1"/>
  <c r="A51" i="1"/>
  <c r="C50" i="1"/>
  <c r="A50" i="1"/>
  <c r="C49" i="1"/>
  <c r="A49" i="1"/>
  <c r="C48" i="1"/>
  <c r="A48" i="1"/>
  <c r="C47" i="1"/>
  <c r="A47" i="1"/>
  <c r="C46" i="1"/>
  <c r="A46" i="1"/>
  <c r="C45" i="1"/>
  <c r="A45" i="1"/>
  <c r="C44" i="1"/>
  <c r="A44" i="1"/>
  <c r="C43" i="1"/>
  <c r="A43" i="1"/>
  <c r="C42" i="1"/>
  <c r="A42" i="1"/>
  <c r="C41" i="1"/>
  <c r="A41" i="1"/>
  <c r="C40" i="1"/>
  <c r="A40" i="1"/>
  <c r="C39" i="1"/>
  <c r="A39" i="1"/>
  <c r="C38" i="1"/>
  <c r="A38" i="1"/>
  <c r="C37" i="1"/>
  <c r="A37" i="1"/>
  <c r="C36" i="1"/>
  <c r="A36" i="1"/>
  <c r="C35" i="1"/>
  <c r="A35" i="1"/>
  <c r="C34" i="1"/>
  <c r="A34" i="1"/>
  <c r="C33" i="1"/>
  <c r="A33" i="1"/>
  <c r="C32" i="1"/>
  <c r="A32" i="1"/>
  <c r="C31" i="1"/>
  <c r="A31" i="1"/>
  <c r="C30" i="1"/>
  <c r="A30" i="1"/>
  <c r="C29" i="1"/>
  <c r="A29" i="1"/>
  <c r="C28" i="1"/>
  <c r="A28" i="1"/>
  <c r="C27" i="1"/>
  <c r="A27" i="1"/>
  <c r="C26" i="1"/>
  <c r="A26" i="1"/>
  <c r="C25" i="1"/>
  <c r="A25" i="1"/>
  <c r="C24" i="1"/>
  <c r="A24" i="1"/>
  <c r="C23" i="1"/>
  <c r="A23" i="1"/>
  <c r="C22" i="1"/>
  <c r="A22" i="1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A3" i="1"/>
  <c r="C2" i="1"/>
  <c r="A2" i="1"/>
</calcChain>
</file>

<file path=xl/sharedStrings.xml><?xml version="1.0" encoding="utf-8"?>
<sst xmlns="http://schemas.openxmlformats.org/spreadsheetml/2006/main" count="2950" uniqueCount="1459">
  <si>
    <t>ABAD JR, ANTONIO</t>
  </si>
  <si>
    <t>Pending</t>
  </si>
  <si>
    <t>ABAD, RAMON MICHAEL "MIKE"</t>
  </si>
  <si>
    <t>ABALOS II, JONATHAN CLEMENTE "JC"</t>
  </si>
  <si>
    <t>ABALOS, HILARIO "Larry"</t>
  </si>
  <si>
    <t>ABALOS, JONATHAN CLEMENT "Jon"</t>
  </si>
  <si>
    <t>ABAQUIN, RAMON</t>
  </si>
  <si>
    <t>ABEJO II, TEOFILO C</t>
  </si>
  <si>
    <t>Ablan, Guillermo</t>
  </si>
  <si>
    <t>ABRIHAN, PAOLO</t>
  </si>
  <si>
    <t>ACERO, EMMANUEL "Manny"</t>
  </si>
  <si>
    <t>ACOSTA, EARL BRIAN</t>
  </si>
  <si>
    <t>AcuÃ±a, Jose Mari</t>
  </si>
  <si>
    <t>ADAMOVITCH, IGOR</t>
  </si>
  <si>
    <t>ADARME, Tommy</t>
  </si>
  <si>
    <t>ADRIANO, JOSE ROBERTO "Job"</t>
  </si>
  <si>
    <t>AFRICA, ALEKHINE "Alek"</t>
  </si>
  <si>
    <t>AGUILA JR, ROMULO "Mar"</t>
  </si>
  <si>
    <t>AGUILAR JR, ADOLFO "Jun"</t>
  </si>
  <si>
    <t>Aguilar, Adrian Miguel</t>
  </si>
  <si>
    <t>Aguilar, Andre Paolo</t>
  </si>
  <si>
    <t>AGUILAR, FRANCIS</t>
  </si>
  <si>
    <t>Aguilar, Juan Franco</t>
  </si>
  <si>
    <t>Agustin, Alfonso Miguel</t>
  </si>
  <si>
    <t>Agustin, Joel R.</t>
  </si>
  <si>
    <t>Ahn, Hyo Deuk</t>
  </si>
  <si>
    <t>ALARILLA SR, FERDINAND</t>
  </si>
  <si>
    <t>ALARILLA, ARTURO "Art"</t>
  </si>
  <si>
    <t>ALARILLA, ROBERT</t>
  </si>
  <si>
    <t>ALBA, JASON</t>
  </si>
  <si>
    <t>ALBERTO, TEODORO</t>
  </si>
  <si>
    <t>ALCANTARA, MARCELINO "MENCY"</t>
  </si>
  <si>
    <t>ALCANTARA, MARCELINO III</t>
  </si>
  <si>
    <t>ALCANTARA, RODOLFO "Rudy"</t>
  </si>
  <si>
    <t>ALCASID, HERMINIO</t>
  </si>
  <si>
    <t>ALCAZAREN, ERWIN</t>
  </si>
  <si>
    <t>ALDE, JOSE VICENTE "JV"</t>
  </si>
  <si>
    <t>ALEJANDRO, JEROU JOSE</t>
  </si>
  <si>
    <t>ALFONSO, MANUEL "Manu"</t>
  </si>
  <si>
    <t>ALILING, JOSE</t>
  </si>
  <si>
    <t>ALIÃ±O, CARLO EDUARDO D.</t>
  </si>
  <si>
    <t>ALMEDA, Rene T.</t>
  </si>
  <si>
    <t>ALVAREZ, JONATHAN "JOJO"</t>
  </si>
  <si>
    <t>ALVENDIA, ROLANDO</t>
  </si>
  <si>
    <t>AMBATALI, ANDREW</t>
  </si>
  <si>
    <t>AN, MYUNG SOO "Mark"</t>
  </si>
  <si>
    <t>AN, WOO YOUNG</t>
  </si>
  <si>
    <t>AN, Young Jae</t>
  </si>
  <si>
    <t>Andaya, Marcus Antonius Tony T.</t>
  </si>
  <si>
    <t>ANDOYO, LEONEL</t>
  </si>
  <si>
    <t>Ang, Andrew Martin</t>
  </si>
  <si>
    <t>ANG, MALVIN</t>
  </si>
  <si>
    <t>Ang, Rafael</t>
  </si>
  <si>
    <t>ANGELES, LEVIE "Bing"</t>
  </si>
  <si>
    <t>ANGELES, MIGUEL</t>
  </si>
  <si>
    <t>Angluben, Hamilton</t>
  </si>
  <si>
    <t>ANOLIN JR, ERNESTO</t>
  </si>
  <si>
    <t>Anolin, Ernest Frederick</t>
  </si>
  <si>
    <t>ANONAS, GERARDO "Gerry"</t>
  </si>
  <si>
    <t>ANONAS, GERARDO RODRIGO</t>
  </si>
  <si>
    <t>ANTONIO JR, MIGUEL</t>
  </si>
  <si>
    <t>ANTONIO, ALBERT ALVIN III</t>
  </si>
  <si>
    <t>ANTONIO, ASHLEY GERARD</t>
  </si>
  <si>
    <t>ANTONIO, BENJAMIN XAVIER</t>
  </si>
  <si>
    <t>ANTONIO, SIXTO JOSE</t>
  </si>
  <si>
    <t>AQUIAS, JUAN CARLOS "Don"</t>
  </si>
  <si>
    <t>AQUINO, JESUS "Jess"</t>
  </si>
  <si>
    <t>AQUINO, RAMON</t>
  </si>
  <si>
    <t>ARAMBULO, MIGUEL</t>
  </si>
  <si>
    <t>ARBATIN, HELIOGEN "Gene"</t>
  </si>
  <si>
    <t>ARBATIN, JOSE "JOE"</t>
  </si>
  <si>
    <t>Arcadio, Neil Christopher</t>
  </si>
  <si>
    <t>Arcilla, Ryan Raymund Barbin</t>
  </si>
  <si>
    <t>ARELLANO, ANDREW</t>
  </si>
  <si>
    <t>ASUNCION, EDGAR</t>
  </si>
  <si>
    <t>ATENDIDO, MANUEL "Manny"</t>
  </si>
  <si>
    <t>ATILANO, CARLOS LORENZO "Caloy"</t>
  </si>
  <si>
    <t>ATILANO, VICENTE LUIS</t>
  </si>
  <si>
    <t>AVILA, ROMEO M.</t>
  </si>
  <si>
    <t>AW, BENITO</t>
  </si>
  <si>
    <t>AW, CLIFFORD</t>
  </si>
  <si>
    <t>AYENTO, EDGARDO</t>
  </si>
  <si>
    <t>AYESA, MARCELO</t>
  </si>
  <si>
    <t>AYSON, ARNOLD</t>
  </si>
  <si>
    <t>Azarraga, Ace</t>
  </si>
  <si>
    <t>AZARRAGA, ARMAND PHILIP "RP"</t>
  </si>
  <si>
    <t>BABST, RAYMOND</t>
  </si>
  <si>
    <t>BALDONADO, AVELINO "Ave"</t>
  </si>
  <si>
    <t>BALDONADO, BONIFACIO</t>
  </si>
  <si>
    <t>BALDONADO, CELESTINO "Tino"</t>
  </si>
  <si>
    <t>BALDONADO, DOMINADOR</t>
  </si>
  <si>
    <t>BALIBAG, RENATO "Rene"</t>
  </si>
  <si>
    <t>BANGCOLA, JEAMIL</t>
  </si>
  <si>
    <t>BANTAYAN JR, PROTACIO</t>
  </si>
  <si>
    <t>BANTOG, SARIPODEN</t>
  </si>
  <si>
    <t>BAQUIRAN, MIGUEL LORENZO "Enzo"</t>
  </si>
  <si>
    <t>Baquiran, Rahmir Quinn "Backy"</t>
  </si>
  <si>
    <t>Barber, Joshua</t>
  </si>
  <si>
    <t>Barretto, Don Ryan</t>
  </si>
  <si>
    <t>Barretto, Don Zigmund</t>
  </si>
  <si>
    <t>BARRETTO, ROBERT JOHN "RJ"</t>
  </si>
  <si>
    <t>BARROGA, FELIPE</t>
  </si>
  <si>
    <t>BARRUELA, RENE</t>
  </si>
  <si>
    <t>BARTOLOME, MICHAEL</t>
  </si>
  <si>
    <t>BARTOLOME, VINCENT VOS</t>
  </si>
  <si>
    <t>BASIT, LUISITO "Chito"</t>
  </si>
  <si>
    <t>BAUTISTA, ALFREDO "Freddie"</t>
  </si>
  <si>
    <t>BAUTISTA, CARLO</t>
  </si>
  <si>
    <t>Bautista, Jason</t>
  </si>
  <si>
    <t>BAUTISTA, JAVIER STEFANO</t>
  </si>
  <si>
    <t>Bautista, Jay Ferdinand</t>
  </si>
  <si>
    <t>Bautista, Jayden Matthew</t>
  </si>
  <si>
    <t>Bautista, Jose Santiago</t>
  </si>
  <si>
    <t>BAUZA, NESTOR</t>
  </si>
  <si>
    <t>BAYANI III, ARTHUR</t>
  </si>
  <si>
    <t>BAYANI, CLARK ARMIGO</t>
  </si>
  <si>
    <t>BAYSA JR, ANDRES "JUN"</t>
  </si>
  <si>
    <t>BELARDO, INOCENCIO</t>
  </si>
  <si>
    <t>BELARDO, NINO LORENZO "Renzo"</t>
  </si>
  <si>
    <t>Belleza, Jose Gabriel</t>
  </si>
  <si>
    <t>BENGZON, ALFONSO "Ali"</t>
  </si>
  <si>
    <t>BENITEZ, TOMAS JULIO "TJ" A</t>
  </si>
  <si>
    <t>Berba, Carlos Antonio</t>
  </si>
  <si>
    <t>BERMUNDO, PABLITO</t>
  </si>
  <si>
    <t>BERNABE, MANUEL "Bebeng"</t>
  </si>
  <si>
    <t>BERNABE, RAMON</t>
  </si>
  <si>
    <t>Bernabe, Raymund</t>
  </si>
  <si>
    <t>BERNABE, RICHARD JOHN HERNAN "Chard"</t>
  </si>
  <si>
    <t>BERNARDO, JOSE RONALDO</t>
  </si>
  <si>
    <t>BERNARDO, PETER</t>
  </si>
  <si>
    <t>Bernardo, Wilfredo</t>
  </si>
  <si>
    <t>BILBAO, JAIME</t>
  </si>
  <si>
    <t>BILBAO, JOAQUIN VICENTE ANTONIO</t>
  </si>
  <si>
    <t>BILBAO, JOSE ADOLFO MARCELO</t>
  </si>
  <si>
    <t>BLAY, ALEX RAUL</t>
  </si>
  <si>
    <t>BOHOL II, PLARIDEL "Jun"</t>
  </si>
  <si>
    <t>BOLANTE, RODELLE</t>
  </si>
  <si>
    <t>Bongat, Jefferson "Jeff" Sy</t>
  </si>
  <si>
    <t>BONIFACIO Jr., ROGELIO "Jun"</t>
  </si>
  <si>
    <t>BONIFACIO, DENNIS</t>
  </si>
  <si>
    <t>BORBE, KOK SUAN</t>
  </si>
  <si>
    <t>BORBE, MARTIN DEDRICK</t>
  </si>
  <si>
    <t>BORLADO, ERNESTO "NONG"</t>
  </si>
  <si>
    <t>BORROMEO, CARLO RAPHAEL</t>
  </si>
  <si>
    <t>Borromeo, JOSE ARSENIO "John"</t>
  </si>
  <si>
    <t>BORROMEO, NESTOR "Chito"</t>
  </si>
  <si>
    <t>BORROMEO, VICTORIANO "Vic"</t>
  </si>
  <si>
    <t>BRION JR, DOMINGO "Jr</t>
  </si>
  <si>
    <t>BUCAT, VIRGILIO</t>
  </si>
  <si>
    <t>Buenafe, Roman</t>
  </si>
  <si>
    <t>BUNAGAN, BEETHOVEN "Michael V"</t>
  </si>
  <si>
    <t>CABALCE, WILFREDO "Willy" C</t>
  </si>
  <si>
    <t>CABALCE, WILFREDO JR</t>
  </si>
  <si>
    <t>CABANELA, RICARDO</t>
  </si>
  <si>
    <t>CABANELA, RICHARD ALLAN ''RICH-O'' O</t>
  </si>
  <si>
    <t>CABANGON, DOMINIQUE ADRIAN "Randy"</t>
  </si>
  <si>
    <t>CABANGON, NOEL</t>
  </si>
  <si>
    <t>CABATIT, ALVIN "Kim"</t>
  </si>
  <si>
    <t>CABEL, EMMANUEL "MAXWELL"</t>
  </si>
  <si>
    <t>CABURNAY, GERRY</t>
  </si>
  <si>
    <t>CAGUIOA, ALFREDO BENJAMIN</t>
  </si>
  <si>
    <t>CALATRAVA, NILO "Bilog"</t>
  </si>
  <si>
    <t>CALIMON, DONEMARK JOSEPH</t>
  </si>
  <si>
    <t>CALIZO, SERGIO</t>
  </si>
  <si>
    <t>CALVAN, FIDEL</t>
  </si>
  <si>
    <t>CALVELO, ANTONIO "Tony"</t>
  </si>
  <si>
    <t>CAMACHO, JAIME</t>
  </si>
  <si>
    <t>CAMACHO, JOSE ENRIQUE "King"</t>
  </si>
  <si>
    <t>CAMACHO, JOSE RAMON</t>
  </si>
  <si>
    <t>CAMINA, MICHAEL ARTHUR</t>
  </si>
  <si>
    <t>CAMPOSANO, INIGO</t>
  </si>
  <si>
    <t>CAMPOSANO, PAUL HARVEY</t>
  </si>
  <si>
    <t>CAMUS, JOSE FERNANDO</t>
  </si>
  <si>
    <t>CANSANA, LEONARD</t>
  </si>
  <si>
    <t>CANTERAS, LUISITO</t>
  </si>
  <si>
    <t>CAPISTRANO, EDMUNDO "Jun"</t>
  </si>
  <si>
    <t>CAPULI, RODERICK</t>
  </si>
  <si>
    <t>CARAG, ANTONIO FELIX F.</t>
  </si>
  <si>
    <t>Caringal, Jaime Fortunato</t>
  </si>
  <si>
    <t>CARINO, DON GABRIEL OLIGAR T</t>
  </si>
  <si>
    <t>CARLOS, ARTHUR "Art"</t>
  </si>
  <si>
    <t>CARONONGAN, Arthel</t>
  </si>
  <si>
    <t>CARPESO, ZALDY</t>
  </si>
  <si>
    <t>CARPESO, ZHAQUILL ELDON</t>
  </si>
  <si>
    <t>CARPIO, CARLO</t>
  </si>
  <si>
    <t>CARPIO, EMILIO JOSE</t>
  </si>
  <si>
    <t>CARPIO, PIERRE PAUL</t>
  </si>
  <si>
    <t>CASA, ORLANDO "Orly"</t>
  </si>
  <si>
    <t>CASALS, JEROME "Jerry"</t>
  </si>
  <si>
    <t>Casimiro, Kenneth "Kit"</t>
  </si>
  <si>
    <t>CASTAÃ‘EDA IV, JOSE REMIGIO "JONG"</t>
  </si>
  <si>
    <t>CASTAÃ‘EDA, JOSE MIGUEL "MAIO"</t>
  </si>
  <si>
    <t>CASTILLO, GEORGE PATRICK</t>
  </si>
  <si>
    <t>CASTILLO, JOSEPH "Joachim"</t>
  </si>
  <si>
    <t>CASTILLO, JOSEPH "Jocas"</t>
  </si>
  <si>
    <t>CASTILLO, RENATO "Nato"</t>
  </si>
  <si>
    <t>CATANGUI, ALBERTO "Abet"</t>
  </si>
  <si>
    <t>CATANGUI, CHARLES JASON</t>
  </si>
  <si>
    <t>CAYANGA, EGBERT "Bolo"</t>
  </si>
  <si>
    <t>CAYANGA, ENRIQUE CHIGUEZ "CHIGZ"</t>
  </si>
  <si>
    <t>Ceballos, Freddie</t>
  </si>
  <si>
    <t>CEBALLOS, GERARD</t>
  </si>
  <si>
    <t>CEMBRANO, ANTONIO</t>
  </si>
  <si>
    <t>CEMBRANO, MICHAEL ANTHONY "Mike"</t>
  </si>
  <si>
    <t>CENIZA, LEONEL D</t>
  </si>
  <si>
    <t>CENIZA, RENE</t>
  </si>
  <si>
    <t>CENTENO, REYNALDO</t>
  </si>
  <si>
    <t>Cereno, Conrad P.</t>
  </si>
  <si>
    <t>Cervantes, Carlos Rheal B.</t>
  </si>
  <si>
    <t>CHAM, ENZO ANDRE</t>
  </si>
  <si>
    <t>Cham, Ethan Alexander</t>
  </si>
  <si>
    <t>Cham, Eugene</t>
  </si>
  <si>
    <t>CHAN, JAMES</t>
  </si>
  <si>
    <t>CHAN, JEFFERSON "Jeff"</t>
  </si>
  <si>
    <t>CHAN, JEFFREI ALLAN</t>
  </si>
  <si>
    <t>CHAN, KEITH</t>
  </si>
  <si>
    <t>CHAN, RAMON</t>
  </si>
  <si>
    <t>CHANG, RODERICK "Rod"</t>
  </si>
  <si>
    <t>CHAVEZ, ARIEL</t>
  </si>
  <si>
    <t>CHAVEZ, BONIFACIO</t>
  </si>
  <si>
    <t>Cheang, Kai Hien</t>
  </si>
  <si>
    <t>CHEE, LANCE L</t>
  </si>
  <si>
    <t>CHEN, DASEN (DAR-SHENG)</t>
  </si>
  <si>
    <t>CHEN, LUJUN "Aaron"</t>
  </si>
  <si>
    <t>CHENG, ANTHONY N</t>
  </si>
  <si>
    <t>CHENG, DEMRY</t>
  </si>
  <si>
    <t>CHEOK, EDWARD</t>
  </si>
  <si>
    <t>CHOI, BYUNG "ANDY"</t>
  </si>
  <si>
    <t>CHUA, ALEX</t>
  </si>
  <si>
    <t>CHUA, ALEXANDER "Alex"</t>
  </si>
  <si>
    <t>CHUA, ALFREDO</t>
  </si>
  <si>
    <t>CHUA, ANDREW</t>
  </si>
  <si>
    <t>CHUA, CHRISTOPHER THOMAS</t>
  </si>
  <si>
    <t>Chua, Hector</t>
  </si>
  <si>
    <t>CHUA, HOWARD</t>
  </si>
  <si>
    <t>CHUA, JACOB VICTOR "JV"</t>
  </si>
  <si>
    <t>CHUA, JOHN</t>
  </si>
  <si>
    <t>CHUA, MATTHEW JOSEPH</t>
  </si>
  <si>
    <t>CHUA, MICHAEL</t>
  </si>
  <si>
    <t>CHUAUNSU, JAMES</t>
  </si>
  <si>
    <t>CHUIDIAN, JOSE MIGUEL "Jomi"</t>
  </si>
  <si>
    <t>CHUNG, GIAN GABRIEL</t>
  </si>
  <si>
    <t>CHUNG, GIAN TIMOTHY</t>
  </si>
  <si>
    <t>CHUNG, VAN ARNOLD</t>
  </si>
  <si>
    <t>CLAUDIO, ROBERTO "Bob"</t>
  </si>
  <si>
    <t>Clavio, Arnold</t>
  </si>
  <si>
    <t>CLEMENTE, WILSON</t>
  </si>
  <si>
    <t>CO, HAROLD</t>
  </si>
  <si>
    <t>Co, Mark Nixon</t>
  </si>
  <si>
    <t>CO, PATRICK</t>
  </si>
  <si>
    <t>CO, STERLING "LING"</t>
  </si>
  <si>
    <t>CO, VAL CONSTANTINE</t>
  </si>
  <si>
    <t>CO, WILLIAM</t>
  </si>
  <si>
    <t>Cobankiat, Jeffrey</t>
  </si>
  <si>
    <t>COCHINGYAN III, JOSE</t>
  </si>
  <si>
    <t>Cole, Darryl</t>
  </si>
  <si>
    <t>COLLADO, ERROL</t>
  </si>
  <si>
    <t>COLLADO, FREDDIE</t>
  </si>
  <si>
    <t>COMIA JR, RODOLFO DON</t>
  </si>
  <si>
    <t>CONSOLACION, THOMAS "Tom"</t>
  </si>
  <si>
    <t>Cordova, Kenneth Irving</t>
  </si>
  <si>
    <t>CORNEJO, ADRIAN JEAN CLAUDE "AJ"</t>
  </si>
  <si>
    <t>CORONEL, ARTHUR</t>
  </si>
  <si>
    <t>CORONEL, JOEL NAPOLEON</t>
  </si>
  <si>
    <t>Coronel, Jose</t>
  </si>
  <si>
    <t>CORPUS, ALONSO EMMANUEL "Enzo"</t>
  </si>
  <si>
    <t>CORPUS, CARL JANO</t>
  </si>
  <si>
    <t>Corpus, Emmanuel</t>
  </si>
  <si>
    <t>CORPUS, NEPOMUCENO MAGNO M.</t>
  </si>
  <si>
    <t>CORPUZ JR., MARCELINO "Jun"</t>
  </si>
  <si>
    <t>Corpuz, Kevin Carl</t>
  </si>
  <si>
    <t>CORPUZ, NORBERTO</t>
  </si>
  <si>
    <t>CRISANTO, AVELINO</t>
  </si>
  <si>
    <t>Crisologo, Anthony Peter</t>
  </si>
  <si>
    <t>Cristal, Noel</t>
  </si>
  <si>
    <t>CRUZ JR, AUGUSTO "AUGIE"</t>
  </si>
  <si>
    <t>CRUZ, AIDEN CHRISTOPHER</t>
  </si>
  <si>
    <t>Cruz, Alonzo Rafael</t>
  </si>
  <si>
    <t>CRUZ, ARCHIMEDES "Archie"</t>
  </si>
  <si>
    <t>CRUZ, CHRISTOPHER "Kit"</t>
  </si>
  <si>
    <t>CRUZ, CHRISTOPHER ANDREI</t>
  </si>
  <si>
    <t>CRUZ, JACK MIKHAIL</t>
  </si>
  <si>
    <t>CRUZ, JAIRUS AARON</t>
  </si>
  <si>
    <t>CRUZ, JOSE "Pinggoy"</t>
  </si>
  <si>
    <t>CRUZ, JUAN ANTONIO ''JUANTON'' P</t>
  </si>
  <si>
    <t>CRUZ, LORENA</t>
  </si>
  <si>
    <t>CRUZ, LUIS GEMINIANO "LOUIE"</t>
  </si>
  <si>
    <t>CRUZ, RAFAEL JACINTO</t>
  </si>
  <si>
    <t>CRUZ, RAMON</t>
  </si>
  <si>
    <t>CRUZ, STEPHEN</t>
  </si>
  <si>
    <t>CUAYO, DENARDO "Deni"</t>
  </si>
  <si>
    <t>CUERPO, CELERINO   "RENE"   S.</t>
  </si>
  <si>
    <t>Cuerpo, Christopher Charles</t>
  </si>
  <si>
    <t>CUISON, ROMMEL</t>
  </si>
  <si>
    <t>CUNA, JUAN MIGUEL "Mitch"</t>
  </si>
  <si>
    <t>CUNTAPAY, EMMANUEL "Manny"</t>
  </si>
  <si>
    <t>CURRAN, Emilio Antonio</t>
  </si>
  <si>
    <t>DACANAY, MANIFELMO "Manny"</t>
  </si>
  <si>
    <t>DANDAN, ALEXANDER "Alex"</t>
  </si>
  <si>
    <t>DARJUAN, ANTONIO "JUN"</t>
  </si>
  <si>
    <t>DARJUAN, MARCUS JOSHUA "MJ"</t>
  </si>
  <si>
    <t>DARJUAN, RALPH</t>
  </si>
  <si>
    <t>DARJUAN, SEBASTIAN MIGUEL</t>
  </si>
  <si>
    <t>Datoc, Agnellus "rj"</t>
  </si>
  <si>
    <t>DAVID, CARLOS PRIMO "CP"</t>
  </si>
  <si>
    <t>David, Paolo Lorenzo</t>
  </si>
  <si>
    <t>DAVID, RAMON "MON"</t>
  </si>
  <si>
    <t>DAVID, XANDREI</t>
  </si>
  <si>
    <t>DE   UBAGO, ANTONIO</t>
  </si>
  <si>
    <t>DE CASTRO, PAOLO MAXIMO "Pao"</t>
  </si>
  <si>
    <t>DE GUZMAN, DOMINGO ''JON''</t>
  </si>
  <si>
    <t>DE GUZMAN, EMMANUEL "MANOLO"</t>
  </si>
  <si>
    <t>DE GUZMAN, MARCELINO "Mar"</t>
  </si>
  <si>
    <t>DE GUZMAN, RICARDO</t>
  </si>
  <si>
    <t>DE JESUS, PATRICK</t>
  </si>
  <si>
    <t>DE LEON JR., RODOLFO "ODIE"</t>
  </si>
  <si>
    <t>DE LEON, CARMELINO</t>
  </si>
  <si>
    <t>DE LEON, DANTE ANDRES</t>
  </si>
  <si>
    <t>DE LEON, ELMER THOMAS</t>
  </si>
  <si>
    <t>De Leon, Jacob Andreiu</t>
  </si>
  <si>
    <t>DE LEON, JOSE MARIO DON</t>
  </si>
  <si>
    <t>DE LEON, JOSEPH ANTHONY</t>
  </si>
  <si>
    <t>De Leon, Xavier</t>
  </si>
  <si>
    <t>DE MESA, ARNEL</t>
  </si>
  <si>
    <t>DE VERA, EFREN</t>
  </si>
  <si>
    <t>DECAMPONG, MAGLANGIT</t>
  </si>
  <si>
    <t>Decepida, Conrado "Rading"</t>
  </si>
  <si>
    <t>Dee, Henry</t>
  </si>
  <si>
    <t>DEE, JOHN CHRISTOPHER "Jaycee"</t>
  </si>
  <si>
    <t>Dee, Scott Daniel</t>
  </si>
  <si>
    <t>DEFENSOR, MICHAEL T.</t>
  </si>
  <si>
    <t>DEL ROSARIO JR, MAXIMO</t>
  </si>
  <si>
    <t>DELA CERNA, NOE</t>
  </si>
  <si>
    <t>DELA CRUZ, ABRAHAM "Abet"</t>
  </si>
  <si>
    <t>Dela Cruz, Allan</t>
  </si>
  <si>
    <t>Dela Cruz, Andre Miguel</t>
  </si>
  <si>
    <t>DELA CRUZ, BENITO "Benny"</t>
  </si>
  <si>
    <t>DELA CRUZ, CHRISTIAN GILMER</t>
  </si>
  <si>
    <t>DELA ROSA JR, ALFREDO "JOJO"</t>
  </si>
  <si>
    <t>DELA ROSA, JEAN-NICOLE</t>
  </si>
  <si>
    <t>Delen, Lauro Javier</t>
  </si>
  <si>
    <t>Delen, Reynaldo</t>
  </si>
  <si>
    <t>DELOS REYES, BEN "Bar"</t>
  </si>
  <si>
    <t>DEMETRIA, JOMAR</t>
  </si>
  <si>
    <t>DIAZ, EDISON M</t>
  </si>
  <si>
    <t>DIAZ, REY IGNACIO</t>
  </si>
  <si>
    <t>DIMACULANGAN, ERWIN</t>
  </si>
  <si>
    <t>DIMACULANGAN, WENDELL</t>
  </si>
  <si>
    <t>DIMAYUGA, CARLO ANTONIO</t>
  </si>
  <si>
    <t>DIÃ‘O, BERWYN REY</t>
  </si>
  <si>
    <t>DIO, JAMES</t>
  </si>
  <si>
    <t>DIOKNO, JONATHAN "Jones"</t>
  </si>
  <si>
    <t>DIOKNO, SANTINO</t>
  </si>
  <si>
    <t>DIONISIO, VICTORIO EMMANUEL "DINO"</t>
  </si>
  <si>
    <t>DIVINAGRACIA, JOE ARLIN "Jad"</t>
  </si>
  <si>
    <t>DIZER, VENERANDO "RANDY"</t>
  </si>
  <si>
    <t>DIZON JR, SIMEON</t>
  </si>
  <si>
    <t>Dizon, Alejandro Gabriel</t>
  </si>
  <si>
    <t>DIZON, ANGEL RICARDO "Archie"</t>
  </si>
  <si>
    <t>Dizon, Gabriel Ramon</t>
  </si>
  <si>
    <t>Dizon, Ramon Miguel</t>
  </si>
  <si>
    <t>DOBLES, CARLO ANTHONY</t>
  </si>
  <si>
    <t>DOBLES, CHRISTIAN JEROME</t>
  </si>
  <si>
    <t>DOHINOG, JOEMAR</t>
  </si>
  <si>
    <t>DONATO, JOSEL</t>
  </si>
  <si>
    <t>DUAY, ARNOLD</t>
  </si>
  <si>
    <t>DUCUSIN, HECTOR</t>
  </si>
  <si>
    <t>DUMLAO, DANIEL JOSEPH "DANNY"</t>
  </si>
  <si>
    <t>DUYAG, JENSEN</t>
  </si>
  <si>
    <t>DY, EDGAR ALLAN</t>
  </si>
  <si>
    <t>DY, JIMMY "Jun"</t>
  </si>
  <si>
    <t>DY, VINCENT RAYMUND</t>
  </si>
  <si>
    <t>ECHAVEZ, MICHAEL "Mike"</t>
  </si>
  <si>
    <t>Edoc, Lester</t>
  </si>
  <si>
    <t>EDOC, ZIANBEAU THURS</t>
  </si>
  <si>
    <t>EDOC, ZOJI TYRO</t>
  </si>
  <si>
    <t>ELIZAGA, LUIS</t>
  </si>
  <si>
    <t>ENCINAS, REYNALDO</t>
  </si>
  <si>
    <t>ENRIQUEZ, ENRIQUE</t>
  </si>
  <si>
    <t>ERFE, RAFAEL "Lito"</t>
  </si>
  <si>
    <t>ESCALADA, EMMANUELLE</t>
  </si>
  <si>
    <t>Escares, Danilo "Danny"</t>
  </si>
  <si>
    <t>ESCOBAR, ARMANDO "Mando"</t>
  </si>
  <si>
    <t>ESGUERRA, DENNIS AUGUSTIN "DUSTIN"</t>
  </si>
  <si>
    <t>ESPINA, FELIX</t>
  </si>
  <si>
    <t>ESPINO, ELMER</t>
  </si>
  <si>
    <t>ESPINO, FERNANDO "Andy"</t>
  </si>
  <si>
    <t>ESPINOZA, MANUEL "Manny"</t>
  </si>
  <si>
    <t>Esquivias, Jaden</t>
  </si>
  <si>
    <t>ESQUIVIAS, JULIUS THOMAS</t>
  </si>
  <si>
    <t>ESTANISLAO, RAFAEL "Peng"</t>
  </si>
  <si>
    <t>ESTOESTA, FREDDIE ZACHARY "Zach"</t>
  </si>
  <si>
    <t>ESTRADA, RAYMUNDO "Yeyet"</t>
  </si>
  <si>
    <t>ESTRELLA, EMMANUEL</t>
  </si>
  <si>
    <t>ETORMA, GENE</t>
  </si>
  <si>
    <t>Eusebio, Juan Paulo</t>
  </si>
  <si>
    <t>EVANGELISTA, ALEXANDER</t>
  </si>
  <si>
    <t>EVARDONE, BEN</t>
  </si>
  <si>
    <t>FAJARDO, MARLON "Lon"</t>
  </si>
  <si>
    <t>Federezo, Roger M.</t>
  </si>
  <si>
    <t>FELICIANO, FEDERICO "Rico"</t>
  </si>
  <si>
    <t>FELICIANO, JOSE GERARDO "JAY"</t>
  </si>
  <si>
    <t>FELICIANO, LAWRENCE</t>
  </si>
  <si>
    <t>FELIX, EMELITO "Mel" M</t>
  </si>
  <si>
    <t>FELIX, EMILIO MONTANIEL</t>
  </si>
  <si>
    <t>FENIX JR, ALBERTO</t>
  </si>
  <si>
    <t>FERNANDEZ, CRES VINCENT</t>
  </si>
  <si>
    <t>FERNANDEZ, RICARDO "Boyet"</t>
  </si>
  <si>
    <t>Fernando, Cesar T</t>
  </si>
  <si>
    <t>Fernando, Jesus Iii</t>
  </si>
  <si>
    <t>FERNANDO, JESUS JR.</t>
  </si>
  <si>
    <t>Fernando, Juan Javier</t>
  </si>
  <si>
    <t>FERRAREN, RUDY</t>
  </si>
  <si>
    <t>FERREOL, MANOLITO PABLO</t>
  </si>
  <si>
    <t>FERRER, JOEL</t>
  </si>
  <si>
    <t>FERRIOLS, ROBERTO SEGUNDO "Bob"</t>
  </si>
  <si>
    <t>FERRO Jr, FRANCISCO "Franz"</t>
  </si>
  <si>
    <t>FIGUEROA, ROBERTO "Ruben"</t>
  </si>
  <si>
    <t>FIGURA, FRANCISCO B.</t>
  </si>
  <si>
    <t>FLANCIA, GENEROSO</t>
  </si>
  <si>
    <t>FLORES II, JAIME MA</t>
  </si>
  <si>
    <t>Flores, Jose Avelino</t>
  </si>
  <si>
    <t>FLORES, JOSE LORENZO</t>
  </si>
  <si>
    <t>FLORES, NOEL</t>
  </si>
  <si>
    <t>FLORES, RICARDO "Ricky"</t>
  </si>
  <si>
    <t>Fonacier, Gasat</t>
  </si>
  <si>
    <t>FONACIER, LAKAN</t>
  </si>
  <si>
    <t>FONACIER, PAOLO</t>
  </si>
  <si>
    <t>FORMOSO, VICENTE "Vince"</t>
  </si>
  <si>
    <t>FRANCISCO, EDUARDO</t>
  </si>
  <si>
    <t>FREGIL, JERE MYLES "Jerry"</t>
  </si>
  <si>
    <t>FUGOSO, RODOLFO "ARVIE /RV" VALERIANO</t>
  </si>
  <si>
    <t>FULGENCIO JR, BUENAVENTURA "Benny"</t>
  </si>
  <si>
    <t>FULLIDO, GILBERT</t>
  </si>
  <si>
    <t>GABRIEL, ROBERTO "Bobby"</t>
  </si>
  <si>
    <t>GALANG, VICTOR</t>
  </si>
  <si>
    <t>Galano-Tan, Jonathan Wilton</t>
  </si>
  <si>
    <t>GAN NASIS, SAMUEL</t>
  </si>
  <si>
    <t>GANCAYCO, PABLO "AMBO"</t>
  </si>
  <si>
    <t>GARCELLANO, RENE</t>
  </si>
  <si>
    <t>GARCIA, LEOPOLDO "Pol"</t>
  </si>
  <si>
    <t>Garcia, Renato</t>
  </si>
  <si>
    <t>GARCIA, RONALDO</t>
  </si>
  <si>
    <t>GARROTE, FERNANDO "Andy"</t>
  </si>
  <si>
    <t>GARVIDA JR, JAIME "Jimmy"</t>
  </si>
  <si>
    <t>GARZON, JOHN ALEXANDER "Alexi"</t>
  </si>
  <si>
    <t>GATCHALIAN, WESLIE</t>
  </si>
  <si>
    <t>GATLABAYAN, ANGELITO</t>
  </si>
  <si>
    <t>GAVINO JR, JACINTO</t>
  </si>
  <si>
    <t>Gaytano, Joseph</t>
  </si>
  <si>
    <t>GELACIO, DENNIS</t>
  </si>
  <si>
    <t>GELI, ALVIN</t>
  </si>
  <si>
    <t>GELUZ, FERDINAND "Ferdie"</t>
  </si>
  <si>
    <t>GEMENTIZA, JUANITO</t>
  </si>
  <si>
    <t>GENATO, LUIS ANTONIO</t>
  </si>
  <si>
    <t>GENATO, VINCENT</t>
  </si>
  <si>
    <t>GIDWANI, AMRIT</t>
  </si>
  <si>
    <t>GO, ALVIN</t>
  </si>
  <si>
    <t>GO, ALVIN CLIFTON</t>
  </si>
  <si>
    <t>GO, CARTER WILSON</t>
  </si>
  <si>
    <t>GO, EDGARDO "EDDIE"</t>
  </si>
  <si>
    <t>Go, Edison</t>
  </si>
  <si>
    <t>Go, Edward Cedric</t>
  </si>
  <si>
    <t>GO, EUGENE SONSEPH</t>
  </si>
  <si>
    <t>GO, FERNANDO "Dong"</t>
  </si>
  <si>
    <t>GO, FRANKLIN</t>
  </si>
  <si>
    <t>GO, FREDDIE</t>
  </si>
  <si>
    <t>GO, HENRY</t>
  </si>
  <si>
    <t>GO, JONATHAN</t>
  </si>
  <si>
    <t>GO, MARCELINO "Daudo"</t>
  </si>
  <si>
    <t>GO, ROBERT</t>
  </si>
  <si>
    <t>Go, Robert Martin</t>
  </si>
  <si>
    <t>GO, RUDOLPH</t>
  </si>
  <si>
    <t>GOHH, JONATHAN</t>
  </si>
  <si>
    <t>GONZALES, JOSE ANDRES "JAG"</t>
  </si>
  <si>
    <t>Gonzales, Jose Carlo</t>
  </si>
  <si>
    <t>GONZALES, JUAN ELEAZAR</t>
  </si>
  <si>
    <t>GONZALES, LEOJUN ANTONIO</t>
  </si>
  <si>
    <t>Gonzales, Raul</t>
  </si>
  <si>
    <t>GONZALES, WESLEY</t>
  </si>
  <si>
    <t>Gonzalez, Gerardo</t>
  </si>
  <si>
    <t>GONZALEZ, JOSE PAULO "Pau"</t>
  </si>
  <si>
    <t>GONZALEZ, LAMBERTO JR A</t>
  </si>
  <si>
    <t>GORNE, ALEX JOSEPH</t>
  </si>
  <si>
    <t>GOROSPE, BENJAMIN III</t>
  </si>
  <si>
    <t>GORRICETA, MARK I.</t>
  </si>
  <si>
    <t>GRAGEDA, CALVIN</t>
  </si>
  <si>
    <t>GRAGEDA, ROMMEL</t>
  </si>
  <si>
    <t>GREGORE, JOHN   PATRICK   "JP"   B.</t>
  </si>
  <si>
    <t>GREGORE, PABLITO "TOTO"</t>
  </si>
  <si>
    <t>GREGORIO, VICENTE</t>
  </si>
  <si>
    <t>GUADO, WILSON</t>
  </si>
  <si>
    <t>GUANIO, DENNIS RAMON "Dion"</t>
  </si>
  <si>
    <t>GUATNO, GUMERCINDO</t>
  </si>
  <si>
    <t>GUERRERO, GERARDO "Gerry"</t>
  </si>
  <si>
    <t>GUERRERO, GERARDO "Sonnie"</t>
  </si>
  <si>
    <t>GUERRERO, ROBERTO MARIA "Bob"</t>
  </si>
  <si>
    <t>Guevara, Fernando</t>
  </si>
  <si>
    <t>Guevara, Joaquin Francisco</t>
  </si>
  <si>
    <t>Guevara, Roberto David</t>
  </si>
  <si>
    <t>Guevara, Tomas Elon</t>
  </si>
  <si>
    <t>GUIANG, ADRIEL JOSE</t>
  </si>
  <si>
    <t>GUIANG, JOSE FERDINAND "Jofer"</t>
  </si>
  <si>
    <t>GUIANG, MARTIN P</t>
  </si>
  <si>
    <t>Guico, Mikell Zachary</t>
  </si>
  <si>
    <t>Guico, Ramon Michael</t>
  </si>
  <si>
    <t>GUINTU JR, Lazaro "Jojo"</t>
  </si>
  <si>
    <t>GUINTU, Julienne Mari</t>
  </si>
  <si>
    <t>GUTIERREZ, EDUARDO ANTONIO "TONTON"</t>
  </si>
  <si>
    <t>GUTIERREZ, JULIAN RICARDO</t>
  </si>
  <si>
    <t>GUTIERREZ, PETER PAUL "Polie"</t>
  </si>
  <si>
    <t>GUTIERREZ, RICARDO "KADO"</t>
  </si>
  <si>
    <t>GUZMAN, NICK</t>
  </si>
  <si>
    <t>HABANA, JOSE MIGUEL "Jojo"</t>
  </si>
  <si>
    <t>HALILI, AMADEO</t>
  </si>
  <si>
    <t>HAN, BYOUNG HO</t>
  </si>
  <si>
    <t>HATCHO, TAKAHIDE</t>
  </si>
  <si>
    <t>Hemandas, Avinash</t>
  </si>
  <si>
    <t>HENARES, FIDEL "Grampy"</t>
  </si>
  <si>
    <t>HENSON, ROBERT "Bob"</t>
  </si>
  <si>
    <t>HENSON, ROBERT LOUIS</t>
  </si>
  <si>
    <t>HERMOSA, EMMANUEL "Manny"</t>
  </si>
  <si>
    <t>HERMOSA, GABRIEL</t>
  </si>
  <si>
    <t>Hermosa, Lorenzo</t>
  </si>
  <si>
    <t>HERMOSO, MARCOS "MAC"</t>
  </si>
  <si>
    <t>HERNANDEZ, ALEXANDER LUIS</t>
  </si>
  <si>
    <t>HERNANDEZ, RICARDO "SONNY"</t>
  </si>
  <si>
    <t>HIPOL, PATRICK JOHN</t>
  </si>
  <si>
    <t>HIRANG, ALEJANDRO JOSE "Andy"</t>
  </si>
  <si>
    <t>HO, MING CHIH</t>
  </si>
  <si>
    <t>Hortel, Michael Ray Ii</t>
  </si>
  <si>
    <t>HUANG, JEFFERSON</t>
  </si>
  <si>
    <t>HUANG, JOHN</t>
  </si>
  <si>
    <t>HUANG, PING</t>
  </si>
  <si>
    <t>Huerto, Antonio Petronio</t>
  </si>
  <si>
    <t>IBAÃ‘EZ, ANTHONY CHRISTIAN</t>
  </si>
  <si>
    <t>Illescas, Eric</t>
  </si>
  <si>
    <t>ILLESCAS, ERIC JOHN "EJ"</t>
  </si>
  <si>
    <t>IMPERIAL, BENJAMIN JORGE</t>
  </si>
  <si>
    <t>IMPERIAL, RICHARD BENJAMIN</t>
  </si>
  <si>
    <t>INGALLA, FELICIANO</t>
  </si>
  <si>
    <t>IÃ‘IGO, MARCOS PAOLO</t>
  </si>
  <si>
    <t>INONCILLO, ANTHONY NOEL</t>
  </si>
  <si>
    <t>IRIBERRI, HERNANDO DELFIN</t>
  </si>
  <si>
    <t>ISIP, NATHANIEL</t>
  </si>
  <si>
    <t>Jacinto, Rainier</t>
  </si>
  <si>
    <t>JALANDONI, MARIO</t>
  </si>
  <si>
    <t>JANG, MIN KYU</t>
  </si>
  <si>
    <t>JANOLO, ARNALDO EXEQUIEL "Arnie"</t>
  </si>
  <si>
    <t>JAO, BERNARD</t>
  </si>
  <si>
    <t>JARANTILLA JR, FEDERICO</t>
  </si>
  <si>
    <t>JAVIER, DENNIS</t>
  </si>
  <si>
    <t>JAVIER, ERMIN MICHAEL JOSEPH "Mike"</t>
  </si>
  <si>
    <t>JAVIER, JOSE DANIEL</t>
  </si>
  <si>
    <t>Javier, Jose Marie</t>
  </si>
  <si>
    <t>JAVIER, RUBEN A.</t>
  </si>
  <si>
    <t>JAVIER, RUFINO "Pinong"</t>
  </si>
  <si>
    <t>JEON, DAE GU</t>
  </si>
  <si>
    <t>JIA, ZHILIANG</t>
  </si>
  <si>
    <t>JIAO JR, JEREMIAS "Jerry"</t>
  </si>
  <si>
    <t>JIMENEZ, FLORANTE "Ting"</t>
  </si>
  <si>
    <t>JINGCO, EDWIN</t>
  </si>
  <si>
    <t>JOAQUIN, CARLOS "Jack"</t>
  </si>
  <si>
    <t>JOCSON, ALLAN</t>
  </si>
  <si>
    <t>Joo, Kwang Ye</t>
  </si>
  <si>
    <t>JORGE, NICANOR "Nick"</t>
  </si>
  <si>
    <t>JORGE, RAOUL</t>
  </si>
  <si>
    <t>JORNADA, RYAN RENE</t>
  </si>
  <si>
    <t>Jose, Johnrey Tito</t>
  </si>
  <si>
    <t>JOSEPH, ALEX</t>
  </si>
  <si>
    <t>JUNIO, GAVINO</t>
  </si>
  <si>
    <t>JUNSAY, JAIME "Jimmy"</t>
  </si>
  <si>
    <t>Junsay, Jared James</t>
  </si>
  <si>
    <t>KATIGBAK, VIRGILIO "Boy"</t>
  </si>
  <si>
    <t>Kawsek, Christopher</t>
  </si>
  <si>
    <t>Kho, William Lester</t>
  </si>
  <si>
    <t>KHU, WALTER</t>
  </si>
  <si>
    <t>KIM, HYUNG SUK</t>
  </si>
  <si>
    <t>KING, CARY</t>
  </si>
  <si>
    <t>KING, CONSTANTINE CHESTER "Chester"</t>
  </si>
  <si>
    <t>KITAMURA, KENICHIRO "Ken"</t>
  </si>
  <si>
    <t>KNUTTEL, JENS DIETER</t>
  </si>
  <si>
    <t>KO, MEYNARD</t>
  </si>
  <si>
    <t>Ko, Mharvin</t>
  </si>
  <si>
    <t>Koa, Sean Guthrie</t>
  </si>
  <si>
    <t>Koa, Seth Gavri</t>
  </si>
  <si>
    <t>Koa, Sherwin</t>
  </si>
  <si>
    <t>KOHCHET-CHUA, CONSTANTINE</t>
  </si>
  <si>
    <t>KUBO, ATSUSHI</t>
  </si>
  <si>
    <t>LABRADOR, LEO PERFECTO</t>
  </si>
  <si>
    <t>LACAP, ALFONSO</t>
  </si>
  <si>
    <t>Lacap, Joseph</t>
  </si>
  <si>
    <t>Lacap, Joseph Maier</t>
  </si>
  <si>
    <t>Lacap, Ryneal Joseph</t>
  </si>
  <si>
    <t>LACHICA, RALPH KENNETH</t>
  </si>
  <si>
    <t>LACHICA, ROBERT KEVIN</t>
  </si>
  <si>
    <t>LACHICA, RONALD KIRBY</t>
  </si>
  <si>
    <t>LADANGA, FLORENCIO "Flor"</t>
  </si>
  <si>
    <t>LADEZA, AMON</t>
  </si>
  <si>
    <t>Ladeza, Leo John</t>
  </si>
  <si>
    <t>LAGAREJOS, ARNEL</t>
  </si>
  <si>
    <t>LAMSON, JOSE "Lito"</t>
  </si>
  <si>
    <t>LANDAYAN, FRANCISCO "Jun"</t>
  </si>
  <si>
    <t>LANSANG, NICOLAS "Nick"</t>
  </si>
  <si>
    <t>LANSIGAN, ANDRE LUIS</t>
  </si>
  <si>
    <t>LANSIGAN, PATRICK</t>
  </si>
  <si>
    <t>LANTIN, ANGELITO "Lito"</t>
  </si>
  <si>
    <t>LANTIN, FERDINAND "Ferdie"</t>
  </si>
  <si>
    <t>LANUZA JR, CAESAR "Jun"</t>
  </si>
  <si>
    <t>LAO, WILLIAM</t>
  </si>
  <si>
    <t>Laparan, Carlo</t>
  </si>
  <si>
    <t>LATINAZO, ROMMEL "Mel"</t>
  </si>
  <si>
    <t>LAUREL, JOSE ARSENIO "Jay"</t>
  </si>
  <si>
    <t>LAZARO, J. IAN KONRAD "Ian"</t>
  </si>
  <si>
    <t>LAZO, JAYME</t>
  </si>
  <si>
    <t>LAZO, SAMSON "SAMMY"</t>
  </si>
  <si>
    <t>LEE, CHANG HUN "Brandon"</t>
  </si>
  <si>
    <t>LEE, CIAN STEPHEN</t>
  </si>
  <si>
    <t>LEE, EDMUND</t>
  </si>
  <si>
    <t>Lee, Elizabeth Clarisse</t>
  </si>
  <si>
    <t>LEE, MARLON LAO</t>
  </si>
  <si>
    <t>LEE, MATTHEW LORENZ</t>
  </si>
  <si>
    <t>LEE, MICKELSON LUKE</t>
  </si>
  <si>
    <t>Lee, Rafael Victor</t>
  </si>
  <si>
    <t>Lee, Rodolfo</t>
  </si>
  <si>
    <t>LEE, SAHNG NAI</t>
  </si>
  <si>
    <t>LEGARDA, ANTONIO "AA"</t>
  </si>
  <si>
    <t>Legaspi, Reynald Brent</t>
  </si>
  <si>
    <t>Legaspi, Reynante</t>
  </si>
  <si>
    <t>LEONARDO, JOSE BASILIO "Boy"</t>
  </si>
  <si>
    <t>LIAMZON, MICHAEL RAYMUND "Mike"</t>
  </si>
  <si>
    <t>LIAMZON, ROBERTO ANTONIO "Bobby"</t>
  </si>
  <si>
    <t>LIAMZON, RODRIGO JESUS R.</t>
  </si>
  <si>
    <t>LIAMZON, RONALDO "Don"</t>
  </si>
  <si>
    <t>LIANG, XUEFENG "JEFFREY"</t>
  </si>
  <si>
    <t>LIAO, PATRICK STEPHEN</t>
  </si>
  <si>
    <t>LIBAGO, RICKY</t>
  </si>
  <si>
    <t>LIBAN, VOLTAIRE GODOFREDO III "Bong"</t>
  </si>
  <si>
    <t>LICERIO, RUBEN</t>
  </si>
  <si>
    <t>Lim, Allen Inigo</t>
  </si>
  <si>
    <t>LIM, CHARLES CHRISTIAN</t>
  </si>
  <si>
    <t>LIM, EDGAR "Chino"</t>
  </si>
  <si>
    <t>LIM, EDWARD</t>
  </si>
  <si>
    <t>Lim, Kyung Ho</t>
  </si>
  <si>
    <t>LIM, LEONARD "JAYPEE"</t>
  </si>
  <si>
    <t>LIM, NICASIO "Nic"</t>
  </si>
  <si>
    <t>LIM, RICHARD</t>
  </si>
  <si>
    <t>LIM, ROBERTO JAIME "JIMMY"</t>
  </si>
  <si>
    <t>LIM, TIMOTHY JUSTIN</t>
  </si>
  <si>
    <t>Lim, William</t>
  </si>
  <si>
    <t>LIMPIADA   JR., ROMULO   N.</t>
  </si>
  <si>
    <t>Limpiada, Zian James</t>
  </si>
  <si>
    <t>LIMPO, JOSE MARI</t>
  </si>
  <si>
    <t>Limpo, Jose Mari Javier</t>
  </si>
  <si>
    <t>Limpo, Juan Carlos</t>
  </si>
  <si>
    <t>LIN, EDEN</t>
  </si>
  <si>
    <t>LIN, RICHARD</t>
  </si>
  <si>
    <t>Lina, Christian James</t>
  </si>
  <si>
    <t>LITTAUA, DIONISIO "Dionny"</t>
  </si>
  <si>
    <t>Locsin, Manuel Jr</t>
  </si>
  <si>
    <t>LOK, CHESTER</t>
  </si>
  <si>
    <t>LOK, KENNETH</t>
  </si>
  <si>
    <t>LOK, LAURENCE Anthony</t>
  </si>
  <si>
    <t>LOK, TERENCE DANIEL</t>
  </si>
  <si>
    <t>LOPEZ JR, EDGARDO "EDDIEBOY"</t>
  </si>
  <si>
    <t>LOPEZ, ALLAN JAYSON</t>
  </si>
  <si>
    <t>LOPEZ, ANTONIO RAMON</t>
  </si>
  <si>
    <t>LOPEZ, FERNANDO "Nanding"</t>
  </si>
  <si>
    <t>LOPEZ, INOCENCIO "Ennie"</t>
  </si>
  <si>
    <t>LOPEZ, ROBERTO</t>
  </si>
  <si>
    <t>LOPEZ, VINCENT FREDERICK</t>
  </si>
  <si>
    <t>Lopez, Vinci Andre</t>
  </si>
  <si>
    <t>LOZADA, PATRICK</t>
  </si>
  <si>
    <t>LUCAS JR, EUFRACIO "Jun"</t>
  </si>
  <si>
    <t>LUDOVICE, JOHN LYNDON</t>
  </si>
  <si>
    <t>LUMBAO, DENNIS</t>
  </si>
  <si>
    <t>LYONS, GREGORY "LUKE"</t>
  </si>
  <si>
    <t>MABASA, JOHN BENEDICT</t>
  </si>
  <si>
    <t>MACAINAG, MANUEL</t>
  </si>
  <si>
    <t>Macapagal, MICHAEL "Mike"</t>
  </si>
  <si>
    <t>MACASAET, BRIAN EDGER</t>
  </si>
  <si>
    <t>MACEDA, FRANCISCO JESUS "KIKO" "KEITH"</t>
  </si>
  <si>
    <t>MACOMB, DONALD JOSEPH "DJ"</t>
  </si>
  <si>
    <t>MADLAMBAYAN, EDWARD</t>
  </si>
  <si>
    <t>MAGALONG, GABRIEL ANDRES ANDOY P.</t>
  </si>
  <si>
    <t>MAGALONG, JOSE ANTONIO "Jay"</t>
  </si>
  <si>
    <t>MAGCALING, JOMARI VINCE</t>
  </si>
  <si>
    <t>MAGCALING, JOUMER</t>
  </si>
  <si>
    <t>MAGLALANG, RAMON</t>
  </si>
  <si>
    <t>MAGNAYON, ANDREO "Deo"</t>
  </si>
  <si>
    <t>MAGPALE, JOSE PAOLO ENRIQUE</t>
  </si>
  <si>
    <t>MAGPANTAY, LUCIEN</t>
  </si>
  <si>
    <t>Magtibay, Arleo Antonio</t>
  </si>
  <si>
    <t>Magtibay, Arleo III</t>
  </si>
  <si>
    <t>MALABANAN, JAYSEN</t>
  </si>
  <si>
    <t>Malapit, Charles</t>
  </si>
  <si>
    <t>Mallillin, Vener Ramoncito</t>
  </si>
  <si>
    <t>MANAHAN, WILFREDO "Willy"</t>
  </si>
  <si>
    <t>MANALO, AUGUSTO "Tito"</t>
  </si>
  <si>
    <t>MANALO, DENNIS</t>
  </si>
  <si>
    <t>MANALO, EMMANUEL "BOBIT"</t>
  </si>
  <si>
    <t>MANANSALA, EMMANUEL</t>
  </si>
  <si>
    <t>MANAPAT, ADRIAN</t>
  </si>
  <si>
    <t>MANGOSING, TOMAS RAPHAEL</t>
  </si>
  <si>
    <t>MANHIT, RACE PHOENIX</t>
  </si>
  <si>
    <t>MANHIT, RUPERT PAUL "RP"</t>
  </si>
  <si>
    <t>MANHIT, VICTOR ANDRES</t>
  </si>
  <si>
    <t>MANIEGO JR, PEDRO "Pete"</t>
  </si>
  <si>
    <t>Maningas, Orlando M</t>
  </si>
  <si>
    <t>MANLAPAZ, CHAD</t>
  </si>
  <si>
    <t>MANLAPAZ, WARLITO "Warly"</t>
  </si>
  <si>
    <t>Mantele, Benjardi</t>
  </si>
  <si>
    <t>MANUEL, CONSTANCE</t>
  </si>
  <si>
    <t>MANUEL, JOSE ANTON "Jett"</t>
  </si>
  <si>
    <t>MANZANARES, EDDY JOSE "Ed"</t>
  </si>
  <si>
    <t>MAPUA, LORENZO "Lorens"</t>
  </si>
  <si>
    <t>MARCELO, GERARDO "Gerry"</t>
  </si>
  <si>
    <t>MARCELO, TOM GERARD</t>
  </si>
  <si>
    <t>MARIANO, RAMELITO</t>
  </si>
  <si>
    <t>Mariano, Ramon Miguel</t>
  </si>
  <si>
    <t>MARIANO, RYAN MARIUS</t>
  </si>
  <si>
    <t>MARQUEZ, ALEXANDER "Bobot"</t>
  </si>
  <si>
    <t>MARQUEZ, MICHAEL "Mike"</t>
  </si>
  <si>
    <t>Marron, Mario Jr</t>
  </si>
  <si>
    <t>MARTINEZ, GREGORIO</t>
  </si>
  <si>
    <t>MARTINEZ, JOSE RONALDO "Ronnie"</t>
  </si>
  <si>
    <t>MARTINEZ, RENE</t>
  </si>
  <si>
    <t>MARTIREZ, JUAN PAOLO G.</t>
  </si>
  <si>
    <t>Mas, Ethan</t>
  </si>
  <si>
    <t>MASANGKAY, RONIE</t>
  </si>
  <si>
    <t>MATHAY, AUGUSTO</t>
  </si>
  <si>
    <t>MAULEON, AMADO "Ding"</t>
  </si>
  <si>
    <t>MAURICIO, ADRIAN</t>
  </si>
  <si>
    <t>MEDIANA, MERWIN</t>
  </si>
  <si>
    <t>MEDINA, MARCO</t>
  </si>
  <si>
    <t>MENDIOLA, ORLANDO "Orly"</t>
  </si>
  <si>
    <t>MENDOZA, ALFREDO "Red"</t>
  </si>
  <si>
    <t>MENDOZA, ANTONIO GABRIEL</t>
  </si>
  <si>
    <t>MENDOZA, CARLO</t>
  </si>
  <si>
    <t>MENDOZA, DEMETRIO BORIS HORATIO</t>
  </si>
  <si>
    <t>MENDOZA, HOMACIO "MATT" S</t>
  </si>
  <si>
    <t>MENDOZA, HONOR   S.</t>
  </si>
  <si>
    <t>Mendoza, Jesus Angelo</t>
  </si>
  <si>
    <t>MENDOZA, MARLON</t>
  </si>
  <si>
    <t>MENDOZA, MARVIN LUIS</t>
  </si>
  <si>
    <t>MENDOZA, NEIL</t>
  </si>
  <si>
    <t>MENDOZA, NESTOR "Jay"</t>
  </si>
  <si>
    <t>Mendoza, Paul Loren</t>
  </si>
  <si>
    <t>MENDOZA, RAPHAEL LUIS ANGELO "Pael"</t>
  </si>
  <si>
    <t>MENDOZA, RICARDO "Rick"</t>
  </si>
  <si>
    <t>MERCADO II, RENATO "Jojo"</t>
  </si>
  <si>
    <t>MERCADO, JOSE NOEL "Joel"</t>
  </si>
  <si>
    <t>MESA, FERNANDO</t>
  </si>
  <si>
    <t>MIA, EFREN</t>
  </si>
  <si>
    <t>MIGUEL, JAY ERMIN ERNEST LOUIE</t>
  </si>
  <si>
    <t>Millonado, Jose Jr.</t>
  </si>
  <si>
    <t>MINAGAWA III, TETSUYA</t>
  </si>
  <si>
    <t>Miranda, Joao Santiago F</t>
  </si>
  <si>
    <t>MITO, YUKI</t>
  </si>
  <si>
    <t>MOLATO, ARTEMIO</t>
  </si>
  <si>
    <t>MOLINA, NARCISO JUDE "Jun"</t>
  </si>
  <si>
    <t>MONTALLA, CELSO</t>
  </si>
  <si>
    <t>MONTENEGRO, JOSE CARLITO</t>
  </si>
  <si>
    <t>Montero, Michael</t>
  </si>
  <si>
    <t>MONTERO, VINCENT ANTHONY</t>
  </si>
  <si>
    <t>Montilla, Benjamin Johann</t>
  </si>
  <si>
    <t>MOON, JU YEON</t>
  </si>
  <si>
    <t>MORALES, EMILIO "Joey"</t>
  </si>
  <si>
    <t>MORALES, EMILIO LORENZO "Renzo"</t>
  </si>
  <si>
    <t>MORALES, LUIS HERMES "Luie"</t>
  </si>
  <si>
    <t>Moya, Carlos Antonio</t>
  </si>
  <si>
    <t>MURGA, JOSEPH RONALD "Bong"</t>
  </si>
  <si>
    <t>NAKA, MIKE</t>
  </si>
  <si>
    <t>NAKPIL, EULOGIO "Joey"</t>
  </si>
  <si>
    <t>NARANJILLA, FRANCISCO</t>
  </si>
  <si>
    <t>Natindim, Dan</t>
  </si>
  <si>
    <t>NATIVIDAD, DEOGRACIAS "Deo"</t>
  </si>
  <si>
    <t>NAVALTA, CHRISTOPHER</t>
  </si>
  <si>
    <t>Nepomuceno, Jose Antonel "Sean"</t>
  </si>
  <si>
    <t>NERO, RUSTICO "Buds"</t>
  </si>
  <si>
    <t>NG, JASON</t>
  </si>
  <si>
    <t>Ng, Malcolm</t>
  </si>
  <si>
    <t>NG, WILLY</t>
  </si>
  <si>
    <t>NGKAION, ELI</t>
  </si>
  <si>
    <t>NGO, FRANCISCO</t>
  </si>
  <si>
    <t>NGO, RICHARDSON</t>
  </si>
  <si>
    <t>NGUI, RICHARD ANTHONY SY</t>
  </si>
  <si>
    <t>NICOLAS, RYAN</t>
  </si>
  <si>
    <t>NICOLAS, RYAN JR</t>
  </si>
  <si>
    <t>NOLASCO, RODRIGO "Dino"</t>
  </si>
  <si>
    <t>Noprada, Nathaniel</t>
  </si>
  <si>
    <t>NOVELA, MARLON</t>
  </si>
  <si>
    <t>NUDALO, ROY</t>
  </si>
  <si>
    <t>NUÃ‘EZ, Luigi C.</t>
  </si>
  <si>
    <t>NUYDA, RODOLFO "Rudy"</t>
  </si>
  <si>
    <t>OBEDIENTE JR, JOSE "TOOTS"</t>
  </si>
  <si>
    <t>OLIVEROS JR, MANUEL</t>
  </si>
  <si>
    <t>OLIVES, JAVIER RAMON</t>
  </si>
  <si>
    <t>OLIVES, JOSE ANTONIO</t>
  </si>
  <si>
    <t>OLIVES, MARCO</t>
  </si>
  <si>
    <t>OLIVES, PAOLO</t>
  </si>
  <si>
    <t>ONA, ARSENIO KENNETH "BUZZIE"</t>
  </si>
  <si>
    <t>ONG, ARNOLD</t>
  </si>
  <si>
    <t>ONG, EARL WALTER</t>
  </si>
  <si>
    <t>ONG, JEFFREY T.</t>
  </si>
  <si>
    <t>ONG, JIMMY</t>
  </si>
  <si>
    <t>ONG, JOSE MIGUEL</t>
  </si>
  <si>
    <t>ONG, JOSELITO "Jojo"</t>
  </si>
  <si>
    <t>Ong, Jovenson</t>
  </si>
  <si>
    <t>ONG, KING GUAN</t>
  </si>
  <si>
    <t>ONG, MARTIN CHESTER</t>
  </si>
  <si>
    <t>ONG, MICHAEL JOHN "MONG"</t>
  </si>
  <si>
    <t>ONG, RONALD</t>
  </si>
  <si>
    <t>ONGKIKO, RICARDO "Ricky"</t>
  </si>
  <si>
    <t>Orduna, Jerald</t>
  </si>
  <si>
    <t>Orduna, Joel</t>
  </si>
  <si>
    <t>ORTEGA, H. GERRARD "GERBOY"</t>
  </si>
  <si>
    <t>Ouchi, Dai</t>
  </si>
  <si>
    <t>OVIEDO, RODOLF</t>
  </si>
  <si>
    <t>PABLICO, BENITO "Benjo"</t>
  </si>
  <si>
    <t>PABLICO, LUIGI BRIAN</t>
  </si>
  <si>
    <t>PABLO, RIZALINO "Robbie"</t>
  </si>
  <si>
    <t>PAGARIGAN, ARTEMIO "Art"</t>
  </si>
  <si>
    <t>PAGASI-AN, GENESIS</t>
  </si>
  <si>
    <t>PAGDILAO, SAMUEL</t>
  </si>
  <si>
    <t>PAJARILLO, ORLANDO</t>
  </si>
  <si>
    <t>PAJE, RAMON</t>
  </si>
  <si>
    <t>PALALA, AMER</t>
  </si>
  <si>
    <t>PANAGUITON, RODEGELIO</t>
  </si>
  <si>
    <t>Panganiban Jr, Jose T</t>
  </si>
  <si>
    <t>PANGILINAN, CRISPULO S</t>
  </si>
  <si>
    <t>Pangilinan, Roel R.</t>
  </si>
  <si>
    <t>PANLASIGUI, ROGERIO "Ogeng"</t>
  </si>
  <si>
    <t>PAREDES, HILARIO</t>
  </si>
  <si>
    <t>PAREDES, LUIS</t>
  </si>
  <si>
    <t>PARIÃ‘AS, LEO</t>
  </si>
  <si>
    <t>PARK, JONG YUL "JAY"</t>
  </si>
  <si>
    <t>Park, Jung Ki</t>
  </si>
  <si>
    <t>Park, Man Hee</t>
  </si>
  <si>
    <t>PARK, WOO SUNG</t>
  </si>
  <si>
    <t>PARULAN, JASPER "JAPPY"</t>
  </si>
  <si>
    <t>PARULAN, JEREMY "Jerry"</t>
  </si>
  <si>
    <t>PARULAN, JOSEPH CHRISTIAN</t>
  </si>
  <si>
    <t>PASCUAL, ALBERTO</t>
  </si>
  <si>
    <t>Pascual, Elmer</t>
  </si>
  <si>
    <t>PASCUAL, GIAN CARLO MIGUEL</t>
  </si>
  <si>
    <t>PASCUAL, JOSE ALFREDO</t>
  </si>
  <si>
    <t>PASCUAL, JOSE AUGUSTO</t>
  </si>
  <si>
    <t>PASCUAL, LITO ANGELO</t>
  </si>
  <si>
    <t>PASILIAO, LUCAS "Luke"</t>
  </si>
  <si>
    <t>PASILIAO, NEPTHALIE</t>
  </si>
  <si>
    <t>PASION, CARLOS "Caloy"</t>
  </si>
  <si>
    <t>PASION, EDGAR "Egay"</t>
  </si>
  <si>
    <t>PAUSING, LEON</t>
  </si>
  <si>
    <t>PENULIAR, WILFREDO "Fred"</t>
  </si>
  <si>
    <t>PEREZ, ARMANDO "Arman"</t>
  </si>
  <si>
    <t>PEREZ, RAFAEL MELECIO "Raffy"</t>
  </si>
  <si>
    <t>Perkins, Randall</t>
  </si>
  <si>
    <t>PERLAS, FORTUNATO</t>
  </si>
  <si>
    <t>PIMENTEL, LUISITO "Jing"</t>
  </si>
  <si>
    <t>PIMENTEL, SAMUEL "Sam"</t>
  </si>
  <si>
    <t>PINEDA, RENNEL "Cleng"</t>
  </si>
  <si>
    <t>PO, ERVIN LESTER</t>
  </si>
  <si>
    <t>POLINTAN, LUIS MANUEL "Chito"</t>
  </si>
  <si>
    <t>PONO, VICENTE "Vic"</t>
  </si>
  <si>
    <t>PONTIVEROS, Juanito</t>
  </si>
  <si>
    <t>Pratt, Eric</t>
  </si>
  <si>
    <t>PULIDO, ARNOLD</t>
  </si>
  <si>
    <t>PUNAY, ALFREDO MICHAEL "MIKE"</t>
  </si>
  <si>
    <t>PUNO, JOSE PASTOR "Tong"</t>
  </si>
  <si>
    <t>PUNO, REYNATO</t>
  </si>
  <si>
    <t>PUNONGBAYAN, ALVIN JAY "Jay"</t>
  </si>
  <si>
    <t>PUYAT, EDUARDO VICENTE</t>
  </si>
  <si>
    <t>PUYAT, PAOLO CONRADO "Paco"</t>
  </si>
  <si>
    <t>PUYAT, RAYMUND</t>
  </si>
  <si>
    <t>QUE, ALBERT "Al"</t>
  </si>
  <si>
    <t>QUE, DEXTER</t>
  </si>
  <si>
    <t>QUIAO, EDGAR</t>
  </si>
  <si>
    <t>QUIJANO, RICARDO</t>
  </si>
  <si>
    <t>QUIMSON, CARLO JOSE</t>
  </si>
  <si>
    <t>QUIOGUE, LUIS "louie"</t>
  </si>
  <si>
    <t>QUITANGON, ALFONSO</t>
  </si>
  <si>
    <t>RACELA, RAOUL CESAR ''NASH'' E</t>
  </si>
  <si>
    <t>RAGOJOS, REDENTOR   D.</t>
  </si>
  <si>
    <t>RAMOS III, EMERITO "TONKI"</t>
  </si>
  <si>
    <t>Ramos, Eduardo</t>
  </si>
  <si>
    <t>RAMOS, FREDERICK "Banji"</t>
  </si>
  <si>
    <t>RAMOS, JULIUS</t>
  </si>
  <si>
    <t>RAMOS, LAMBERTO "Lambert"</t>
  </si>
  <si>
    <t>RAMOSO, JOSEPH "Joey"</t>
  </si>
  <si>
    <t>RAMOY, VICTOR ANTONIO</t>
  </si>
  <si>
    <t>RAPADAS, ANTONIO</t>
  </si>
  <si>
    <t>RAPADAS, EMMANUEL "Noel"</t>
  </si>
  <si>
    <t>Ravago, Manuel</t>
  </si>
  <si>
    <t>RAYMUNDO, RAFAEL "Chino"</t>
  </si>
  <si>
    <t>RAYMUNDO, RAFAEL ANTONIO "Chiyo"</t>
  </si>
  <si>
    <t>RAZON, JERICK JAN "Jay"</t>
  </si>
  <si>
    <t>RAZON, JOSE JESUS FIDEL "JEFF"</t>
  </si>
  <si>
    <t>REBOLLEDO, JOSEPH</t>
  </si>
  <si>
    <t>REGALADO, RAMIRO "Roy"</t>
  </si>
  <si>
    <t>REGINO, REYNALDO</t>
  </si>
  <si>
    <t>REINTAR, REMIGIO "EMIL"</t>
  </si>
  <si>
    <t>REJANO, ROBERTO</t>
  </si>
  <si>
    <t>Ressa, Peter</t>
  </si>
  <si>
    <t>REVERENTE, JOSE EMMANUEL "JIMBO"</t>
  </si>
  <si>
    <t>REYES, ARISTOTLE RAYMUND "Aris"</t>
  </si>
  <si>
    <t>REYES, CARLO "Chuck"</t>
  </si>
  <si>
    <t>Reyes, Gerard</t>
  </si>
  <si>
    <t>REYES, NORBERTO</t>
  </si>
  <si>
    <t>REYES, ROGEN</t>
  </si>
  <si>
    <t>REYES, TOMAS "Tommy"</t>
  </si>
  <si>
    <t>REYLA, FERNANDO ALCANTARA</t>
  </si>
  <si>
    <t>REY-MATIAS, ARNALDO C.</t>
  </si>
  <si>
    <t>RICARDO, ROMEO "ROMY"</t>
  </si>
  <si>
    <t>RICARDO, ROMEO JR "JOJO"</t>
  </si>
  <si>
    <t>RIMANDO, ISRAEL</t>
  </si>
  <si>
    <t>RIOS, NOEL</t>
  </si>
  <si>
    <t>RIOS, THEODORE CONSTANTINE</t>
  </si>
  <si>
    <t>RIVA, RONALDO</t>
  </si>
  <si>
    <t>RIVERA, ALBERT</t>
  </si>
  <si>
    <t>RIVERA, ARNON</t>
  </si>
  <si>
    <t>RIVERA, GERARDO "JCO"</t>
  </si>
  <si>
    <t>RIZADA, RYAN JOSEPH "RJ"</t>
  </si>
  <si>
    <t>ROBLES, DANILO</t>
  </si>
  <si>
    <t>ROBLES, ROMEO "Romy"</t>
  </si>
  <si>
    <t>RODRIGUEZ II, REYNALDO</t>
  </si>
  <si>
    <t>RODRIGUEZ, POLICARPIO "PJ"</t>
  </si>
  <si>
    <t>ROLDAN, JAMES</t>
  </si>
  <si>
    <t>ROLDAN, MAGTANGGOL "Mags"</t>
  </si>
  <si>
    <t>Roman, Carlo Joseph</t>
  </si>
  <si>
    <t>ROQUE, HECTOR FELIPE</t>
  </si>
  <si>
    <t>ROQUE, MELCHEZEDECK "CHEZ"</t>
  </si>
  <si>
    <t>ROQUE, MIGUEL SEBASTIAN "Miggy"</t>
  </si>
  <si>
    <t>ROQUE, ROLANDO "Rolly"</t>
  </si>
  <si>
    <t>ROSAGAS, FERDINAND</t>
  </si>
  <si>
    <t>ROSCA, MARK</t>
  </si>
  <si>
    <t>ROXAS, ALDWIN</t>
  </si>
  <si>
    <t>Roxas, Joseph Peter</t>
  </si>
  <si>
    <t>Roxas, Justin Joseph</t>
  </si>
  <si>
    <t>ROXAS, ROBERTO "Bobby"</t>
  </si>
  <si>
    <t>RUANTO, FELIPE "Boyet"</t>
  </si>
  <si>
    <t>RUANTO, PHILIP MATHESON</t>
  </si>
  <si>
    <t>SALANDANAN, PAUL</t>
  </si>
  <si>
    <t>Salanguit, Erickson</t>
  </si>
  <si>
    <t>SALAZAR, JOSE VICENTE</t>
  </si>
  <si>
    <t>SALCEDO, JONATHAN "Jojo"</t>
  </si>
  <si>
    <t>SALCEDO, Lysander</t>
  </si>
  <si>
    <t>Sallan, Arlan N</t>
  </si>
  <si>
    <t>SALUD, OLIVER</t>
  </si>
  <si>
    <t>SALVADOR, ALEXANDER "Alex"</t>
  </si>
  <si>
    <t>SALVADOR, Antonio</t>
  </si>
  <si>
    <t>SAM, BONIFACIO</t>
  </si>
  <si>
    <t>SAMANIEGO, ALBERT "Abet"</t>
  </si>
  <si>
    <t>SAMANIEGO, RODOLFO "Rudy"</t>
  </si>
  <si>
    <t>SAMSON, JOSEPH DOMINIC</t>
  </si>
  <si>
    <t>SAN AGUSTIN, ARISTEO "Aris" S</t>
  </si>
  <si>
    <t>SAN DIEGO, GIL</t>
  </si>
  <si>
    <t>SAN JUAN, DONATO</t>
  </si>
  <si>
    <t>SAN JUAN, GABRIEL RODRIGO</t>
  </si>
  <si>
    <t>SAN JUAN, LEO ANTHONY</t>
  </si>
  <si>
    <t>SAN PEDRO JR, ISAURO "Boy"</t>
  </si>
  <si>
    <t>SAN PEDRO, BYRON</t>
  </si>
  <si>
    <t>SAN PEDRO, REGINALD BENJAMIN</t>
  </si>
  <si>
    <t>SANCHEZ, LEOPOLDO "Pol"</t>
  </si>
  <si>
    <t>SANTIAGO III, SEBASTIAN "CHITO"</t>
  </si>
  <si>
    <t>SANTIAGO, EDWIN</t>
  </si>
  <si>
    <t>SANTICO, FERNANDO "Ding"</t>
  </si>
  <si>
    <t>SANTOS, CARLOS MA.</t>
  </si>
  <si>
    <t>SANTOS, EDUARDO</t>
  </si>
  <si>
    <t>SANTOS, JAIME ALBERT "JED"</t>
  </si>
  <si>
    <t>SANTOS, JAIME RAYMUNDO "RAYMOND"</t>
  </si>
  <si>
    <t>SANTOS, JAIME VICTOR "JV"</t>
  </si>
  <si>
    <t>SANTOS, MARK BONCRIS</t>
  </si>
  <si>
    <t>SANTOS, MARK LANCE ELDRICK</t>
  </si>
  <si>
    <t>SANTOS, PETER PAUL</t>
  </si>
  <si>
    <t>SANTOS, ROBERTO</t>
  </si>
  <si>
    <t>SANTOS, ROMAN CARLO</t>
  </si>
  <si>
    <t>SANTOS, ROMEO "Romy"</t>
  </si>
  <si>
    <t>SANVICTORES, GERARD</t>
  </si>
  <si>
    <t>SARABIA, MICHAEL JOBERT</t>
  </si>
  <si>
    <t>SARMIENTO, DAVID</t>
  </si>
  <si>
    <t>SARONA, ELMO FRANCIS</t>
  </si>
  <si>
    <t>SARONA, JOSEPH ELMO FRANCIS III  P.</t>
  </si>
  <si>
    <t>SARONA, JOSEPH ELMO FRANCIS JR.</t>
  </si>
  <si>
    <t>SARTE, ELFREN ANTONIO "Boyie"</t>
  </si>
  <si>
    <t>SARTE, ERNEST JAN MIKHAEL</t>
  </si>
  <si>
    <t>SARTE, RONALDO</t>
  </si>
  <si>
    <t>SAVET, FROILAN</t>
  </si>
  <si>
    <t>SAWIT, RENATO Y</t>
  </si>
  <si>
    <t>SAYO, ANTONIO "Anton"</t>
  </si>
  <si>
    <t>SEBASTIAN JR, LICERIO</t>
  </si>
  <si>
    <t>SEE, DAMIEN MARCUS</t>
  </si>
  <si>
    <t>SEE, GABRIEL SEBASTIAN "Skippy"</t>
  </si>
  <si>
    <t>SEE, JIM HOWARD "JIGGER"</t>
  </si>
  <si>
    <t>SEE, JUSTIN ALEC</t>
  </si>
  <si>
    <t>SEE, RAFAEL DEAN</t>
  </si>
  <si>
    <t>SEE, RALPH EMERSON</t>
  </si>
  <si>
    <t>SEE, RICO DANIEL YU</t>
  </si>
  <si>
    <t>See, Robin</t>
  </si>
  <si>
    <t>SEE, RODOLFO</t>
  </si>
  <si>
    <t>SEE, RON NELSON</t>
  </si>
  <si>
    <t>SEE, ROY STEVENSON</t>
  </si>
  <si>
    <t>SEGOVIA, FERNANDO SIXTO "Bob"</t>
  </si>
  <si>
    <t>SEHWANI, ANIL</t>
  </si>
  <si>
    <t>Sehwani, Aren Nihal Anil</t>
  </si>
  <si>
    <t>SEHWANI, RAVIN "Ravi"</t>
  </si>
  <si>
    <t>SEMIRA, JONATHAN</t>
  </si>
  <si>
    <t>SENGA, GENEROSO</t>
  </si>
  <si>
    <t>SERRANO, ANTHONY "Tonypet"</t>
  </si>
  <si>
    <t>SEVILLA, FERDINANDO "Ding"</t>
  </si>
  <si>
    <t>SHIN, JUNGSIK</t>
  </si>
  <si>
    <t>Si, EDWIN</t>
  </si>
  <si>
    <t>SICAT, JOHN VINCENT</t>
  </si>
  <si>
    <t>SIENA, ARVIN</t>
  </si>
  <si>
    <t>Silos, Emilio Martin</t>
  </si>
  <si>
    <t>SILOS, MIGUEL</t>
  </si>
  <si>
    <t>SILVA, GERALD"Gerry" O.</t>
  </si>
  <si>
    <t>SILVA, JOE</t>
  </si>
  <si>
    <t>SILVA, ROBERTO "Bobby"</t>
  </si>
  <si>
    <t>SILVERIO, REYNALDO</t>
  </si>
  <si>
    <t>SILVESTRE, JOSE DANILO "Danny"</t>
  </si>
  <si>
    <t>SING, LIAM RIVER</t>
  </si>
  <si>
    <t>SING, TOM JEFFERSON</t>
  </si>
  <si>
    <t>SINGCUENCO, ARNEL</t>
  </si>
  <si>
    <t>SINLAO, LESTER</t>
  </si>
  <si>
    <t>SIOCO, DUBARRY "Dedo"</t>
  </si>
  <si>
    <t>SIONGCO, RUDERICO "Ricky"</t>
  </si>
  <si>
    <t>SISON, GENER</t>
  </si>
  <si>
    <t>Siy, Hubert</t>
  </si>
  <si>
    <t>SO, ALLAN</t>
  </si>
  <si>
    <t>SO, JACKNEIL</t>
  </si>
  <si>
    <t>SO, WILSON</t>
  </si>
  <si>
    <t>SOBREPEÃ‘A, DAVID "DAVE"</t>
  </si>
  <si>
    <t>Solinap, Arthur Michael Frederick</t>
  </si>
  <si>
    <t>SOLIS, RONALD "POPE"</t>
  </si>
  <si>
    <t>SOMERA JR, BIENVENIDO "BONG"</t>
  </si>
  <si>
    <t>SOMERA, RANDOLPH THOMAS "Randy"</t>
  </si>
  <si>
    <t>SORIANO, ELPIDIO</t>
  </si>
  <si>
    <t>SORIANO, JASON "Jake"</t>
  </si>
  <si>
    <t>SORIANO, RENE</t>
  </si>
  <si>
    <t>Sorongon, Paul Joseph</t>
  </si>
  <si>
    <t>SPANHOFF, JORIS S</t>
  </si>
  <si>
    <t>STA MARIA JR, RODOLFO "JUN"</t>
  </si>
  <si>
    <t>STA. ANA, TEODORO "TED"</t>
  </si>
  <si>
    <t>STA. MARIA, JULES</t>
  </si>
  <si>
    <t>STROEM, RUNE</t>
  </si>
  <si>
    <t>SUAREZ, ALEX</t>
  </si>
  <si>
    <t>SUAYBAGUIO, ALVIN</t>
  </si>
  <si>
    <t>SUDARIO, JOSE FERLU</t>
  </si>
  <si>
    <t>SUMBILLA, BONIFACIO</t>
  </si>
  <si>
    <t>SUMULONG, LORENZO</t>
  </si>
  <si>
    <t>SUN, ROBERT</t>
  </si>
  <si>
    <t>SUNGA, PAUL ANTHONY</t>
  </si>
  <si>
    <t>SY, ANTONIO</t>
  </si>
  <si>
    <t>SY, DONWAY DIOCELDO</t>
  </si>
  <si>
    <t>SY, JASON</t>
  </si>
  <si>
    <t>Sy, Johann</t>
  </si>
  <si>
    <t>SY, JOHNNY</t>
  </si>
  <si>
    <t>Sy, Terence</t>
  </si>
  <si>
    <t>SYLING, PHILIP</t>
  </si>
  <si>
    <t>SYTIN, Timothy</t>
  </si>
  <si>
    <t>TAGAYUNA, CARLO</t>
  </si>
  <si>
    <t>TAGAYUNA, LAMBERTO</t>
  </si>
  <si>
    <t>TAN, AARON DANIEL</t>
  </si>
  <si>
    <t>TAN, ALVIN "Alvs"</t>
  </si>
  <si>
    <t>TAN, BRYAN JASON</t>
  </si>
  <si>
    <t>TAN, CHADWYK KLAYTON</t>
  </si>
  <si>
    <t>Tan, Charles Andrew "Banjo"</t>
  </si>
  <si>
    <t>Tan, Christopher</t>
  </si>
  <si>
    <t>TAN, DANILO "Danny"</t>
  </si>
  <si>
    <t>TAN, DENISE JERVIS</t>
  </si>
  <si>
    <t>TAN, DENNISON PHILIP</t>
  </si>
  <si>
    <t>TAN, EARL</t>
  </si>
  <si>
    <t>TAN, EDWIN</t>
  </si>
  <si>
    <t>TAN, ETHAN HANNES</t>
  </si>
  <si>
    <t>TAN, ETHAN RILEY</t>
  </si>
  <si>
    <t>TAN, GERONIMO "Gerry"</t>
  </si>
  <si>
    <t>TAN, HANS KENDRICK</t>
  </si>
  <si>
    <t>TAN, JAVIER FELIPE</t>
  </si>
  <si>
    <t>TAN, JIMMY</t>
  </si>
  <si>
    <t>TAN, JOHN CHRISTOPHER</t>
  </si>
  <si>
    <t>TAN, JUAN RICARDO "RICO"</t>
  </si>
  <si>
    <t>Tan, Lorenz Christopher</t>
  </si>
  <si>
    <t>TAN, MARVIN (K)</t>
  </si>
  <si>
    <t>TAN, MARVIN (Y)</t>
  </si>
  <si>
    <t>TAN, MELVIN "MEL"</t>
  </si>
  <si>
    <t>TAN, MIGUEL</t>
  </si>
  <si>
    <t>TAN, NAPOLEON</t>
  </si>
  <si>
    <t>Tan, Nicolo</t>
  </si>
  <si>
    <t>TAN, RAYMOND</t>
  </si>
  <si>
    <t>TAN, RYAN ALDRICH</t>
  </si>
  <si>
    <t>TAN, TEDDY</t>
  </si>
  <si>
    <t>TANCHI JR, ERNESTO</t>
  </si>
  <si>
    <t>TANCHI, PHILIP</t>
  </si>
  <si>
    <t>TANJUATCO, JOSE</t>
  </si>
  <si>
    <t>Tanopo, Angelo Jay Eli</t>
  </si>
  <si>
    <t>TANOPO, ELISEO "Eli"</t>
  </si>
  <si>
    <t>Tanopo, Kristoff</t>
  </si>
  <si>
    <t>TANPOCO, JOSEPH</t>
  </si>
  <si>
    <t>TARIGA, ARTURO</t>
  </si>
  <si>
    <t>TARUC, RENATO "Rene"</t>
  </si>
  <si>
    <t>TAYAG JR, JOSE</t>
  </si>
  <si>
    <t>TAYAG, MANOLITO "Lito"</t>
  </si>
  <si>
    <t>TAYAWA, JOSE "Joe"</t>
  </si>
  <si>
    <t>TE, DENNIS</t>
  </si>
  <si>
    <t>TEAÃ‘O, EDUARDO</t>
  </si>
  <si>
    <t>Tempongko, Vincent</t>
  </si>
  <si>
    <t>TIAOQUI, MICHAEL</t>
  </si>
  <si>
    <t>TICZON, PATRIK KONRAD</t>
  </si>
  <si>
    <t>TICZON, PIERRE GREGORY</t>
  </si>
  <si>
    <t>Tiongson, Thomas Bernard</t>
  </si>
  <si>
    <t>TOLENTINO JR, ARCADIO "Jun"</t>
  </si>
  <si>
    <t>TOLENTINO JR, JOAQUIN "Joaqs"</t>
  </si>
  <si>
    <t>TOLENTINO, DANILO "Danny"</t>
  </si>
  <si>
    <t>TOLENTINO, RAPHAEL "Raph"</t>
  </si>
  <si>
    <t>TOLENTINO, ROMUALDO</t>
  </si>
  <si>
    <t>Tolentino, Roseller Jr</t>
  </si>
  <si>
    <t>TOLOSA, ANGELO "Gelo"</t>
  </si>
  <si>
    <t>TONG, ROBIN</t>
  </si>
  <si>
    <t>TOPACIO, LINO "Bobon"</t>
  </si>
  <si>
    <t>TORREGOSA, SATURNINO "Bong"</t>
  </si>
  <si>
    <t>TRAJANO, CHRISTOPHER</t>
  </si>
  <si>
    <t>TRIA, EXEQUIEL</t>
  </si>
  <si>
    <t>TRIA, RAMONCITO "Mon"</t>
  </si>
  <si>
    <t>TRIA, VICTOR</t>
  </si>
  <si>
    <t>TSAI, WILLY</t>
  </si>
  <si>
    <t>TUASON, FERDINAND "Ferdie"</t>
  </si>
  <si>
    <t>TUASON, NICK</t>
  </si>
  <si>
    <t>UBALDO, CARLOS "Caloy"</t>
  </si>
  <si>
    <t>UBALDO, FRANCISCO "Frank"</t>
  </si>
  <si>
    <t>UBAY, RENATO</t>
  </si>
  <si>
    <t>UMALI, ALLAN</t>
  </si>
  <si>
    <t>UMALI, AURELIO MATIAS</t>
  </si>
  <si>
    <t>Umali, Edwin</t>
  </si>
  <si>
    <t>UMALI, IAN MIKHAEL</t>
  </si>
  <si>
    <t>UNLAY, RAYMOND PETER "Pete"</t>
  </si>
  <si>
    <t>UNSON, ANTONIO</t>
  </si>
  <si>
    <t>UNTALAN, JOHN VICTOR "JV"</t>
  </si>
  <si>
    <t>URANZA, LUIS MA</t>
  </si>
  <si>
    <t>URBANO, ORLANDO "BOYET"</t>
  </si>
  <si>
    <t>UY YEK CHUNG, GEORGE</t>
  </si>
  <si>
    <t>Uy, Andrew Wilson</t>
  </si>
  <si>
    <t>UY, CHRISTIAN EMMANUEL</t>
  </si>
  <si>
    <t>UY, JOHN PAOLO</t>
  </si>
  <si>
    <t>UY, PERRY</t>
  </si>
  <si>
    <t>UY, SAMUEL</t>
  </si>
  <si>
    <t>UY, TERRENCE WILLIAM</t>
  </si>
  <si>
    <t>Uy, William P</t>
  </si>
  <si>
    <t>UYCO, BENHUR</t>
  </si>
  <si>
    <t>UYENCO, NOEL</t>
  </si>
  <si>
    <t>VALBUENA, IAN GIL</t>
  </si>
  <si>
    <t>VALBUENA, IVAN PHILIP "Van"</t>
  </si>
  <si>
    <t>VALBUENA, VIRGILIO "Bong"</t>
  </si>
  <si>
    <t>VALDERRAMA, ERWIN "Jun"</t>
  </si>
  <si>
    <t>VALDES, EMMANUEL MARI "Em"</t>
  </si>
  <si>
    <t>VALDES, LESTER</t>
  </si>
  <si>
    <t>Valdes, Lucas Emmanuel</t>
  </si>
  <si>
    <t>VALDEZ, TOMMY "Tom"</t>
  </si>
  <si>
    <t>VALENCIA JR, LUIS "Louie"</t>
  </si>
  <si>
    <t>VALENCIA, ALLEN</t>
  </si>
  <si>
    <t>VALMONTE, JOSEPH ALDEN</t>
  </si>
  <si>
    <t>VALTE, IRA GABRIEL</t>
  </si>
  <si>
    <t>VALTE, QUINTIN ARTURO</t>
  </si>
  <si>
    <t>Vea, Jose Miguel</t>
  </si>
  <si>
    <t>Vea, Liam Marcus</t>
  </si>
  <si>
    <t>VEGA, ALISON "Sonny"</t>
  </si>
  <si>
    <t>VELASCO, LORD ALLAN JAY</t>
  </si>
  <si>
    <t>VELAYO JR, JACINTO</t>
  </si>
  <si>
    <t>VELOSO, JOSE MARI "JOEY"</t>
  </si>
  <si>
    <t>VENTURANZA, RIO SESINANDO</t>
  </si>
  <si>
    <t>VERGARA, Emilio "Mimick"</t>
  </si>
  <si>
    <t>VIDANES, D. PAULO</t>
  </si>
  <si>
    <t>VIGARE, CARLOS "CALOY"</t>
  </si>
  <si>
    <t>VILCHEZ JR, JOSE "Bong"</t>
  </si>
  <si>
    <t>VILLA, RODOLFO S.</t>
  </si>
  <si>
    <t>Villa, Zaldy</t>
  </si>
  <si>
    <t>Villa, Zj Tristan</t>
  </si>
  <si>
    <t>VILLALON, VINCENT</t>
  </si>
  <si>
    <t>VILLALUNA III, JOSE ERNESTO "POCH"</t>
  </si>
  <si>
    <t>VILLALUNA JR., JOSE</t>
  </si>
  <si>
    <t>Villame, Ralph Laurence</t>
  </si>
  <si>
    <t>Villame, Roman</t>
  </si>
  <si>
    <t>VILLANUEVA JR, CESARIO "Jr"</t>
  </si>
  <si>
    <t>VILLANUEVA, ALBERT PATRICK</t>
  </si>
  <si>
    <t>Villanueva, Clint Lance</t>
  </si>
  <si>
    <t>Villanueva, Clint Louis</t>
  </si>
  <si>
    <t>Villanueva, Walter</t>
  </si>
  <si>
    <t>VILLAR, RAFAEL "Raffy"</t>
  </si>
  <si>
    <t>VILLAREAL, PAULO</t>
  </si>
  <si>
    <t>VILLARUZ, JULIUS</t>
  </si>
  <si>
    <t>VILLAS, ERNESTO</t>
  </si>
  <si>
    <t>Villavicencio, Javier</t>
  </si>
  <si>
    <t>Villavicencio, Victor</t>
  </si>
  <si>
    <t>VILLEGAS, JAIME</t>
  </si>
  <si>
    <t>VIRAY, ARISTOTLE "Jotle"</t>
  </si>
  <si>
    <t>VIRAY, GONZALO RAFAEL</t>
  </si>
  <si>
    <t>VIVAS, RAUL</t>
  </si>
  <si>
    <t>WANG, PEI JIE</t>
  </si>
  <si>
    <t>WEE, MIKE JONATHAN "MIKE"</t>
  </si>
  <si>
    <t>WEE, PAUL</t>
  </si>
  <si>
    <t>WEE, PRINCETON MATTHEW</t>
  </si>
  <si>
    <t>WONG, DAMASUS</t>
  </si>
  <si>
    <t>WONG, PHILIP ALVIN</t>
  </si>
  <si>
    <t>Wu, John Kenneth</t>
  </si>
  <si>
    <t>YAN, LUCIO</t>
  </si>
  <si>
    <t>YAO, WILLY</t>
  </si>
  <si>
    <t>YAP Jr., DANILO "DANNY"</t>
  </si>
  <si>
    <t>YAP, PAUL</t>
  </si>
  <si>
    <t>Yazon, Matteo Alfonso</t>
  </si>
  <si>
    <t>Yazon, Mervin Ritche</t>
  </si>
  <si>
    <t>YOON, SANG HOON</t>
  </si>
  <si>
    <t>Yoro, Marco Ginno</t>
  </si>
  <si>
    <t>Young, Alvin</t>
  </si>
  <si>
    <t>YOUNG, ENRICO JOEL</t>
  </si>
  <si>
    <t>YOUNG, JOSEPH</t>
  </si>
  <si>
    <t>YOUNG, MARCELO</t>
  </si>
  <si>
    <t>YOUNG, WOODROW</t>
  </si>
  <si>
    <t>YU, ALEXANDER DIMSON G</t>
  </si>
  <si>
    <t>YU, ANDREW MARI</t>
  </si>
  <si>
    <t>YU, EMMANUEL "Manny"</t>
  </si>
  <si>
    <t>YU, PHILIP</t>
  </si>
  <si>
    <t>YU, RICHMOND "Rich"</t>
  </si>
  <si>
    <t>Yu, Stanley</t>
  </si>
  <si>
    <t>YUJUICO, RAMON PAOLO</t>
  </si>
  <si>
    <t>YUSINGCO, ENRIQUE "Ike"</t>
  </si>
  <si>
    <t>YUSINGCO, ENRIQUE NOEL "Iking"</t>
  </si>
  <si>
    <t>ZAMORA, TEODORICO</t>
  </si>
  <si>
    <t>ZAPANTA JR, TEOFILO Q</t>
  </si>
  <si>
    <t>ZAPANTA, JAIME "Jimmy"</t>
  </si>
  <si>
    <t>ZETHA, ELEAZAR "BIMBOY"</t>
  </si>
  <si>
    <t>Zhang, Jason</t>
  </si>
  <si>
    <t>ZHANG, PENG</t>
  </si>
  <si>
    <t>ZHANG, TAI YONG</t>
  </si>
  <si>
    <t>Zhang, Willie</t>
  </si>
  <si>
    <t>ZHANG, WOWIE</t>
  </si>
  <si>
    <t>ZOSA, Elbert</t>
  </si>
  <si>
    <t>ZULUETA, ALEJANDRO</t>
  </si>
  <si>
    <t>ZULUETA, MICHAEL "Mike"</t>
  </si>
  <si>
    <t>IÃ±igo, Miguel Paolo</t>
  </si>
  <si>
    <t>Aguilar, Ribonnette</t>
  </si>
  <si>
    <t>ALCAZAREN, ELIZABETH</t>
  </si>
  <si>
    <t>Amparo, Amore Maricar</t>
  </si>
  <si>
    <t>ANGELES, MARIA DELIA</t>
  </si>
  <si>
    <t>APUHIN, EVANGELINE "Vangie"</t>
  </si>
  <si>
    <t>AQUINO, MA. CONCEPCION</t>
  </si>
  <si>
    <t>ARELLANO, LOIDA</t>
  </si>
  <si>
    <t>Atayde, Rizza Ri</t>
  </si>
  <si>
    <t>ATILANO, GABRIELLE THERESE "Gabbie"</t>
  </si>
  <si>
    <t>Ayson, Maria Lourdes Patricia</t>
  </si>
  <si>
    <t>Bangayan, Gretchen</t>
  </si>
  <si>
    <t>Bangayan, Islay Kenzi</t>
  </si>
  <si>
    <t>BAQUIRAN, JOSEPHINE "JOY"</t>
  </si>
  <si>
    <t>Basit, Ma. Josefina</t>
  </si>
  <si>
    <t>Bautista, Frances Cate</t>
  </si>
  <si>
    <t>Bautista, Sharon Faye</t>
  </si>
  <si>
    <t>BAYANI, FELINA VIELLA</t>
  </si>
  <si>
    <t>BAYANI, MONINA</t>
  </si>
  <si>
    <t>Belleza, Dionesia Edna</t>
  </si>
  <si>
    <t>BORROMEO, MARGIE</t>
  </si>
  <si>
    <t>BORROMEO, MARIA MONICA</t>
  </si>
  <si>
    <t>BUNAGAN, CAROLINA</t>
  </si>
  <si>
    <t>CABANGBANG, CLARITA</t>
  </si>
  <si>
    <t>CALIZO, JOCELYN</t>
  </si>
  <si>
    <t>CAMACHO, LEONA YSABEL</t>
  </si>
  <si>
    <t>CAMINA, LALAINE ISABEL</t>
  </si>
  <si>
    <t>CAMUS, FELOUSELL VICTORIA</t>
  </si>
  <si>
    <t>CARAG, JENNIFER</t>
  </si>
  <si>
    <t>CARLOS, ARSENIA "Zeny"</t>
  </si>
  <si>
    <t>CARPIO, SYLVIA "Jet"</t>
  </si>
  <si>
    <t>CASTILLO, JULIA ALYSSANDRA "Aly"</t>
  </si>
  <si>
    <t>Castillo, Maria Regina</t>
  </si>
  <si>
    <t>CHAM TECHICO HUI, WAI MAN AMIE</t>
  </si>
  <si>
    <t>CHAN, AERIN</t>
  </si>
  <si>
    <t>CHENG, ALAINE CHRISTINE</t>
  </si>
  <si>
    <t>CHOI JEON, OK "COOKIE"</t>
  </si>
  <si>
    <t>Chua, Emilie Yarra</t>
  </si>
  <si>
    <t>CHUA, IVEE LYNN</t>
  </si>
  <si>
    <t>Chua, Vanessa Joan</t>
  </si>
  <si>
    <t>CO, JANETHE "Jan"</t>
  </si>
  <si>
    <t>Cordova, Stephanie</t>
  </si>
  <si>
    <t>CORONEL, ANJELICA</t>
  </si>
  <si>
    <t>Cristal, Faye M.</t>
  </si>
  <si>
    <t>CRUZ, FEMEE</t>
  </si>
  <si>
    <t>CUAYO, CHONA</t>
  </si>
  <si>
    <t>Cuntapay, Flora May</t>
  </si>
  <si>
    <t>DALUPAN, ANGELICA "JIKA"</t>
  </si>
  <si>
    <t>DARJUAN, JONALYN</t>
  </si>
  <si>
    <t>DATOC, KATRINA MARIE LOUISE</t>
  </si>
  <si>
    <t>DAVID, KRISTELLE</t>
  </si>
  <si>
    <t>De Castro, Michelle</t>
  </si>
  <si>
    <t>DE GUZMAN, MAXINE</t>
  </si>
  <si>
    <t>DE JESUS, MARIA ISABELLA DOMINIQUE</t>
  </si>
  <si>
    <t>DE LEON, ISABEL BEATRIZ</t>
  </si>
  <si>
    <t>DE OCAMPO, MARIE ANTONETTE "ANETTE"</t>
  </si>
  <si>
    <t>De Ocampo, Marie Beatrice</t>
  </si>
  <si>
    <t>Dee, Andrea Rei</t>
  </si>
  <si>
    <t>DEE, MARIE RICAELLE</t>
  </si>
  <si>
    <t>DEL ROSARIO, BELINDA</t>
  </si>
  <si>
    <t>DEL ROSARIO, INEZ</t>
  </si>
  <si>
    <t>DEL ROSARIO, MICHELLE</t>
  </si>
  <si>
    <t>DIZON, ANGELA MONICA</t>
  </si>
  <si>
    <t>DOBLES, MARIA PACITA</t>
  </si>
  <si>
    <t>Donato, Chelsey</t>
  </si>
  <si>
    <t>DONATO, CINDY</t>
  </si>
  <si>
    <t>DY SUN, LAURIE JANE</t>
  </si>
  <si>
    <t>ESGUERRA, CECILE</t>
  </si>
  <si>
    <t>ESGUERRA, ELENITA "Ellen"</t>
  </si>
  <si>
    <t>Eusebio, Jenina Sydney</t>
  </si>
  <si>
    <t>Eusebio, Jessica Venice</t>
  </si>
  <si>
    <t>FELIX, NASUDI</t>
  </si>
  <si>
    <t>FONACIER, ANGELINE MARIE "Angel"</t>
  </si>
  <si>
    <t>FREGIL, MARIA CONSUELO "Cielo"</t>
  </si>
  <si>
    <t>Fugoso, Isabelle</t>
  </si>
  <si>
    <t>Fugoso, Virginia</t>
  </si>
  <si>
    <t>Galang, Angela Victoria</t>
  </si>
  <si>
    <t>GERONIMO, BERNADETTE</t>
  </si>
  <si>
    <t>GO, JULIANNA</t>
  </si>
  <si>
    <t>GOGNA, PAMELA ANN "Pam"</t>
  </si>
  <si>
    <t>GONZALES, VEIRA</t>
  </si>
  <si>
    <t>GREGORE, ANGELICA   NOUELLE   B.</t>
  </si>
  <si>
    <t>GUIANG, ANGELA ROZELE</t>
  </si>
  <si>
    <t>Guico, Kerri Gail</t>
  </si>
  <si>
    <t>Guico, Mikayla Grace</t>
  </si>
  <si>
    <t>GUTIERREZ, FLORDELIZA "GLYDEL"</t>
  </si>
  <si>
    <t>HALILI, CAROLINA "Carol"</t>
  </si>
  <si>
    <t>HAN, IN SOOK</t>
  </si>
  <si>
    <t>Hechanova, Jacqueline</t>
  </si>
  <si>
    <t>HERMOSA, ANGELA</t>
  </si>
  <si>
    <t>HERNANDEZ, GERALDINE I.</t>
  </si>
  <si>
    <t>Hernandez, Julianna</t>
  </si>
  <si>
    <t>Hirang, Ma. Gabriella</t>
  </si>
  <si>
    <t>Hizon, Tara Lee</t>
  </si>
  <si>
    <t>IBAÃ‘EZ, ELEANOR CATHERINE</t>
  </si>
  <si>
    <t>IMPERIAL, DANIELLE</t>
  </si>
  <si>
    <t>IÃ±igo, Martina Isabelle</t>
  </si>
  <si>
    <t>ISIP, ANNA LIZA</t>
  </si>
  <si>
    <t>JAVIER, MARIA MILAGROS</t>
  </si>
  <si>
    <t>JORGE, IMELDA</t>
  </si>
  <si>
    <t>Jose, Jaimelyn</t>
  </si>
  <si>
    <t>KIM, HEA LIM</t>
  </si>
  <si>
    <t>KING, NORMITA "Mitz"</t>
  </si>
  <si>
    <t>Koa, Samielle Guia</t>
  </si>
  <si>
    <t>Lacap, Ma. Angelica</t>
  </si>
  <si>
    <t>LACHICA, MARIE BERNADETTE</t>
  </si>
  <si>
    <t>LANE, THERESA</t>
  </si>
  <si>
    <t>Lao, Tiffany</t>
  </si>
  <si>
    <t>Lee, Andrea Corine</t>
  </si>
  <si>
    <t>LEE, KATRINA BLANCA</t>
  </si>
  <si>
    <t>LEGARDA, JENNIFER</t>
  </si>
  <si>
    <t>LIM, BIANCA PAULA</t>
  </si>
  <si>
    <t>Lim, Keiko</t>
  </si>
  <si>
    <t>LIM, MARIA ANDREA</t>
  </si>
  <si>
    <t>Lim, Soon Ja</t>
  </si>
  <si>
    <t>Lim, Trisha</t>
  </si>
  <si>
    <t>LIM, WANIDA</t>
  </si>
  <si>
    <t>LIMPO, MARIA ELENA "Ena"</t>
  </si>
  <si>
    <t>LIN, ANITA</t>
  </si>
  <si>
    <t>LITTAUA, MA TERESA</t>
  </si>
  <si>
    <t>Lopez, Adrienne Victoria</t>
  </si>
  <si>
    <t>Lopez, Marie Angeline</t>
  </si>
  <si>
    <t>LOPEZ, MELANIE</t>
  </si>
  <si>
    <t>MACASAET, MARIA BRIANNA</t>
  </si>
  <si>
    <t>MACASAET, MARIA ELENA ANGELA</t>
  </si>
  <si>
    <t>MAGLALANG, MA. ROSSANA</t>
  </si>
  <si>
    <t>MAGNAYON, EVANGELINE "Vangie"</t>
  </si>
  <si>
    <t>MANHIT, ADRIENNE TYRENE</t>
  </si>
  <si>
    <t>MANLAPAZ, ABIGAIL ANNE</t>
  </si>
  <si>
    <t>Mantele, Frances Monica</t>
  </si>
  <si>
    <t>Mariano, Bianca Francisca</t>
  </si>
  <si>
    <t>Mauricio, Alexandra</t>
  </si>
  <si>
    <t>MEDIANA, MARY JOSEPHINE "Artie"</t>
  </si>
  <si>
    <t>Mendoza, Ma Mystica</t>
  </si>
  <si>
    <t>Mendoza, Marjorie Ann</t>
  </si>
  <si>
    <t>MILLONADO, NEMENCIA ''MENCHIE'' D</t>
  </si>
  <si>
    <t>MITO, HIROKO</t>
  </si>
  <si>
    <t>NAKPIL, MERCEDES "Nena"</t>
  </si>
  <si>
    <t>Nam, Yeon Sook</t>
  </si>
  <si>
    <t>NAMOCO, MARGAUX</t>
  </si>
  <si>
    <t>NAMOCO, NICOLETTE</t>
  </si>
  <si>
    <t>NARCELLES, MYRNA</t>
  </si>
  <si>
    <t>NEPOMUCENO, CZARINA "Czai"</t>
  </si>
  <si>
    <t>Ngui, Andrea Ann Tiffany</t>
  </si>
  <si>
    <t>Nuyda, Romaine</t>
  </si>
  <si>
    <t>OLIVES LAUREL, KYLA</t>
  </si>
  <si>
    <t>ONG, AMANDA GABRIELLE</t>
  </si>
  <si>
    <t>ONG, MERCEDES "Mercy"</t>
  </si>
  <si>
    <t>ONG, MIKAELA</t>
  </si>
  <si>
    <t>ONGKIKO, SONIA</t>
  </si>
  <si>
    <t>Ortega, Kate Joanna Marie</t>
  </si>
  <si>
    <t>PABLICO, BEA PATRICIA</t>
  </si>
  <si>
    <t>Parcon, Maria Hazel</t>
  </si>
  <si>
    <t>PARK, GYE YEON</t>
  </si>
  <si>
    <t>Park, Miah</t>
  </si>
  <si>
    <t>PEGELS, VIOLETA "VIOLY"</t>
  </si>
  <si>
    <t>PEREZ, ARLENE</t>
  </si>
  <si>
    <t>PEREZ, PAULINE</t>
  </si>
  <si>
    <t>PO, MARY MAILYNNE</t>
  </si>
  <si>
    <t>Pressman, Yasmin Isabel</t>
  </si>
  <si>
    <t>RAYMUNDO, ALEXANDRA REGINA</t>
  </si>
  <si>
    <t>REYES, MARIA ANNALIZA "Liz"</t>
  </si>
  <si>
    <t>Reyes, Maria Christina</t>
  </si>
  <si>
    <t>RIVERA, JAYME "Bianca"</t>
  </si>
  <si>
    <t>Rodriguez, Marya Alexandria</t>
  </si>
  <si>
    <t>SABIRON, ELISE MARIE</t>
  </si>
  <si>
    <t>SAN GABRIEL, ALEXA</t>
  </si>
  <si>
    <t>SANTOS, LESLEY ANNE</t>
  </si>
  <si>
    <t>SANTOS, MA CRISTINA</t>
  </si>
  <si>
    <t>SANTOS, MAIA CONSUELO</t>
  </si>
  <si>
    <t>SARTE, MARIA ROENA PERPETUA</t>
  </si>
  <si>
    <t>SAVELLANO, ALEXANDRA DENISE S.</t>
  </si>
  <si>
    <t>Sehwani, Zara</t>
  </si>
  <si>
    <t>SEVILLA, JOCELYN "Joy"</t>
  </si>
  <si>
    <t>SILVA, DINA</t>
  </si>
  <si>
    <t>SING, JAN LESLIE</t>
  </si>
  <si>
    <t>SINGCUENCO, JOVILHYN "Angel"</t>
  </si>
  <si>
    <t>Sinlao, Melissa</t>
  </si>
  <si>
    <t>STROEM, LEA ANA</t>
  </si>
  <si>
    <t>SUN, KATHLEEN</t>
  </si>
  <si>
    <t>SUN, MATHILDA</t>
  </si>
  <si>
    <t>Tadena, Kristine</t>
  </si>
  <si>
    <t>Tan, Faye</t>
  </si>
  <si>
    <t>Tan, Jillian Joyce</t>
  </si>
  <si>
    <t>TANCHI, PHILLINE GINGER</t>
  </si>
  <si>
    <t>TAO, HONG</t>
  </si>
  <si>
    <t>TEE, MARIEL ISABELLA A</t>
  </si>
  <si>
    <t>Tempongko, Melissa</t>
  </si>
  <si>
    <t>Ticzon, Maria Cristina</t>
  </si>
  <si>
    <t>TIONGSON, ANA FRANCESCA</t>
  </si>
  <si>
    <t>Tiongson, Ma. Myrna Cielo</t>
  </si>
  <si>
    <t>TOLENTINO, ANA CATALINA</t>
  </si>
  <si>
    <t>Torrevillas, Karen</t>
  </si>
  <si>
    <t>TUASON, ELIZABETH</t>
  </si>
  <si>
    <t>Tycangco, Eleonor</t>
  </si>
  <si>
    <t>UNTALAN, MYLA</t>
  </si>
  <si>
    <t>UY, LEONCIA "Ching"</t>
  </si>
  <si>
    <t>UYENCO, CARMEN "Menchu"</t>
  </si>
  <si>
    <t>Vea, Marina</t>
  </si>
  <si>
    <t>VICENTE, OLIVIA LARA S.</t>
  </si>
  <si>
    <t>VILLA, RZ SAMM</t>
  </si>
  <si>
    <t>VILLALON, VIONNA</t>
  </si>
  <si>
    <t>Villame, Loreta</t>
  </si>
  <si>
    <t>Walker, Mary Jane</t>
  </si>
  <si>
    <t>WONG, BERNADETTE</t>
  </si>
  <si>
    <t>WU, ANLI H.</t>
  </si>
  <si>
    <t>Yao, Danica Shari</t>
  </si>
  <si>
    <t>Yazon, Maria Annaleah</t>
  </si>
  <si>
    <t>Yoon, Kristin Mikee</t>
  </si>
  <si>
    <t>Young, Anne Dorothy</t>
  </si>
  <si>
    <t>Yu, Lavigne</t>
  </si>
  <si>
    <t>YU, LORIENNE RUTH</t>
  </si>
  <si>
    <t>YUJUICO, LAURENE NATALIA</t>
  </si>
  <si>
    <t>Yujuico, Laurice Ann</t>
  </si>
  <si>
    <t>ZULUETA, CONCEPCION "Bim"</t>
  </si>
  <si>
    <t>F</t>
  </si>
  <si>
    <t>M</t>
  </si>
  <si>
    <t>whs_no</t>
  </si>
  <si>
    <t>name</t>
  </si>
  <si>
    <t>handicap_index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</si>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</sst>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1BE3-087D-4E77-B79E-619634B87297}">
  <dimension ref="A1:D1455"/>
  <sheetViews>
    <sheetView tabSelected="1" workbookViewId="0">
      <selection activeCell="E3" sqref="E3"/>
    </sheetView>
  </sheetViews>
  <sheetFormatPr defaultRowHeight="15" x14ac:dyDescent="0.25"/>
  <cols>
    <col min="1" max="1" width="19.85546875" bestFit="1" customWidth="1"/>
    <col min="2" max="2" width="26.7109375" customWidth="1"/>
    <col min="3" max="3" width="17.140625" customWidth="1"/>
  </cols>
  <sheetData>
    <row r="1" spans="1:4" x14ac:dyDescent="0.25">
      <c r="A1" t="s">
        <v>1455</v>
      </c>
      <c r="B1" t="s">
        <v>1456</v>
      </c>
      <c r="C1" t="s">
        <v>1457</v>
      </c>
      <c r="D1" t="s">
        <v>1458</v>
      </c>
    </row>
    <row r="2" spans="1:4" x14ac:dyDescent="0.25">
      <c r="A2" t="str">
        <f>"8589"</f>
        <v>8589</v>
      </c>
      <c r="B2" t="s">
        <v>0</v>
      </c>
      <c r="C2" t="str">
        <f>"22.3"</f>
        <v>22.3</v>
      </c>
      <c r="D2" t="s">
        <v>1454</v>
      </c>
    </row>
    <row r="3" spans="1:4" x14ac:dyDescent="0.25">
      <c r="A3" t="str">
        <f>"10524"</f>
        <v>10524</v>
      </c>
      <c r="B3" t="s">
        <v>2</v>
      </c>
      <c r="C3" t="str">
        <f>"21.7"</f>
        <v>21.7</v>
      </c>
      <c r="D3" t="s">
        <v>1454</v>
      </c>
    </row>
    <row r="4" spans="1:4" x14ac:dyDescent="0.25">
      <c r="A4" t="str">
        <f>"46721"</f>
        <v>46721</v>
      </c>
      <c r="B4" t="s">
        <v>3</v>
      </c>
      <c r="C4" t="str">
        <f>"16.6"</f>
        <v>16.6</v>
      </c>
      <c r="D4" t="s">
        <v>1454</v>
      </c>
    </row>
    <row r="5" spans="1:4" x14ac:dyDescent="0.25">
      <c r="A5" t="str">
        <f>"10782"</f>
        <v>10782</v>
      </c>
      <c r="B5" t="s">
        <v>4</v>
      </c>
      <c r="C5" t="str">
        <f>"13.7"</f>
        <v>13.7</v>
      </c>
      <c r="D5" t="s">
        <v>1454</v>
      </c>
    </row>
    <row r="6" spans="1:4" x14ac:dyDescent="0.25">
      <c r="A6" t="str">
        <f>"10670"</f>
        <v>10670</v>
      </c>
      <c r="B6" t="s">
        <v>5</v>
      </c>
      <c r="C6" t="str">
        <f>"17.1"</f>
        <v>17.1</v>
      </c>
      <c r="D6" t="s">
        <v>1454</v>
      </c>
    </row>
    <row r="7" spans="1:4" x14ac:dyDescent="0.25">
      <c r="A7" t="str">
        <f>"8591"</f>
        <v>8591</v>
      </c>
      <c r="B7" t="s">
        <v>6</v>
      </c>
      <c r="C7" t="str">
        <f>"15.8"</f>
        <v>15.8</v>
      </c>
      <c r="D7" t="s">
        <v>1454</v>
      </c>
    </row>
    <row r="8" spans="1:4" x14ac:dyDescent="0.25">
      <c r="A8" t="str">
        <f>"8594"</f>
        <v>8594</v>
      </c>
      <c r="B8" t="s">
        <v>7</v>
      </c>
      <c r="C8" t="str">
        <f>"13.6"</f>
        <v>13.6</v>
      </c>
      <c r="D8" t="s">
        <v>1454</v>
      </c>
    </row>
    <row r="9" spans="1:4" x14ac:dyDescent="0.25">
      <c r="A9" t="str">
        <f>"1005638"</f>
        <v>1005638</v>
      </c>
      <c r="B9" t="s">
        <v>8</v>
      </c>
      <c r="C9" t="str">
        <f>"13.3"</f>
        <v>13.3</v>
      </c>
      <c r="D9" t="s">
        <v>1454</v>
      </c>
    </row>
    <row r="10" spans="1:4" x14ac:dyDescent="0.25">
      <c r="A10" t="str">
        <f>"19660"</f>
        <v>19660</v>
      </c>
      <c r="B10" t="s">
        <v>9</v>
      </c>
      <c r="C10" t="str">
        <f>"21.5"</f>
        <v>21.5</v>
      </c>
      <c r="D10" t="s">
        <v>1454</v>
      </c>
    </row>
    <row r="11" spans="1:4" x14ac:dyDescent="0.25">
      <c r="A11" t="str">
        <f>"8599"</f>
        <v>8599</v>
      </c>
      <c r="B11" t="s">
        <v>10</v>
      </c>
      <c r="C11" t="str">
        <f>"21.2"</f>
        <v>21.2</v>
      </c>
      <c r="D11" t="s">
        <v>1454</v>
      </c>
    </row>
    <row r="12" spans="1:4" x14ac:dyDescent="0.25">
      <c r="A12" t="str">
        <f>"76132"</f>
        <v>76132</v>
      </c>
      <c r="B12" t="s">
        <v>11</v>
      </c>
      <c r="C12" t="str">
        <f>"24.4"</f>
        <v>24.4</v>
      </c>
      <c r="D12" t="s">
        <v>1454</v>
      </c>
    </row>
    <row r="13" spans="1:4" x14ac:dyDescent="0.25">
      <c r="A13" t="str">
        <f>"1005078"</f>
        <v>1005078</v>
      </c>
      <c r="B13" t="s">
        <v>12</v>
      </c>
      <c r="C13" t="str">
        <f>"11.1"</f>
        <v>11.1</v>
      </c>
      <c r="D13" t="s">
        <v>1454</v>
      </c>
    </row>
    <row r="14" spans="1:4" x14ac:dyDescent="0.25">
      <c r="A14" t="str">
        <f>"8604"</f>
        <v>8604</v>
      </c>
      <c r="B14" t="s">
        <v>13</v>
      </c>
      <c r="C14" t="str">
        <f>"27.4"</f>
        <v>27.4</v>
      </c>
      <c r="D14" t="s">
        <v>1454</v>
      </c>
    </row>
    <row r="15" spans="1:4" x14ac:dyDescent="0.25">
      <c r="A15" t="str">
        <f>"40672"</f>
        <v>40672</v>
      </c>
      <c r="B15" t="s">
        <v>14</v>
      </c>
      <c r="C15" t="str">
        <f>"24.5"</f>
        <v>24.5</v>
      </c>
      <c r="D15" t="s">
        <v>1454</v>
      </c>
    </row>
    <row r="16" spans="1:4" x14ac:dyDescent="0.25">
      <c r="A16" t="str">
        <f>"38606"</f>
        <v>38606</v>
      </c>
      <c r="B16" t="s">
        <v>15</v>
      </c>
      <c r="C16" t="str">
        <f>"9.1"</f>
        <v>9.1</v>
      </c>
      <c r="D16" t="s">
        <v>1454</v>
      </c>
    </row>
    <row r="17" spans="1:4" x14ac:dyDescent="0.25">
      <c r="A17" t="str">
        <f>"8607"</f>
        <v>8607</v>
      </c>
      <c r="B17" t="s">
        <v>16</v>
      </c>
      <c r="C17" t="str">
        <f>"18.7"</f>
        <v>18.7</v>
      </c>
      <c r="D17" t="s">
        <v>1454</v>
      </c>
    </row>
    <row r="18" spans="1:4" x14ac:dyDescent="0.25">
      <c r="A18" t="str">
        <f>"42344"</f>
        <v>42344</v>
      </c>
      <c r="B18" t="s">
        <v>17</v>
      </c>
      <c r="C18" t="str">
        <f>"18.8"</f>
        <v>18.8</v>
      </c>
      <c r="D18" t="s">
        <v>1454</v>
      </c>
    </row>
    <row r="19" spans="1:4" x14ac:dyDescent="0.25">
      <c r="A19" t="str">
        <f>"34680"</f>
        <v>34680</v>
      </c>
      <c r="B19" t="s">
        <v>18</v>
      </c>
      <c r="C19" t="str">
        <f>"17.1"</f>
        <v>17.1</v>
      </c>
      <c r="D19" t="s">
        <v>1454</v>
      </c>
    </row>
    <row r="20" spans="1:4" x14ac:dyDescent="0.25">
      <c r="A20" t="str">
        <f>"1005634"</f>
        <v>1005634</v>
      </c>
      <c r="B20" t="s">
        <v>19</v>
      </c>
      <c r="C20" t="str">
        <f>"11.9"</f>
        <v>11.9</v>
      </c>
      <c r="D20" t="s">
        <v>1454</v>
      </c>
    </row>
    <row r="21" spans="1:4" x14ac:dyDescent="0.25">
      <c r="A21" t="str">
        <f>"1005633"</f>
        <v>1005633</v>
      </c>
      <c r="B21" t="s">
        <v>20</v>
      </c>
      <c r="C21" t="str">
        <f>"17.7"</f>
        <v>17.7</v>
      </c>
      <c r="D21" t="s">
        <v>1454</v>
      </c>
    </row>
    <row r="22" spans="1:4" x14ac:dyDescent="0.25">
      <c r="A22" t="str">
        <f>"7435"</f>
        <v>7435</v>
      </c>
      <c r="B22" t="s">
        <v>21</v>
      </c>
      <c r="C22" t="str">
        <f>"20.5"</f>
        <v>20.5</v>
      </c>
      <c r="D22" t="s">
        <v>1454</v>
      </c>
    </row>
    <row r="23" spans="1:4" x14ac:dyDescent="0.25">
      <c r="A23" t="str">
        <f>"1000218"</f>
        <v>1000218</v>
      </c>
      <c r="B23" t="s">
        <v>22</v>
      </c>
      <c r="C23" t="str">
        <f>"27.9"</f>
        <v>27.9</v>
      </c>
      <c r="D23" t="s">
        <v>1454</v>
      </c>
    </row>
    <row r="24" spans="1:4" x14ac:dyDescent="0.25">
      <c r="A24" t="str">
        <f>"1000017"</f>
        <v>1000017</v>
      </c>
      <c r="B24" t="s">
        <v>23</v>
      </c>
      <c r="C24" t="str">
        <f>"15.5"</f>
        <v>15.5</v>
      </c>
      <c r="D24" t="s">
        <v>1454</v>
      </c>
    </row>
    <row r="25" spans="1:4" x14ac:dyDescent="0.25">
      <c r="A25" t="str">
        <f>"65550"</f>
        <v>65550</v>
      </c>
      <c r="B25" t="s">
        <v>24</v>
      </c>
      <c r="C25" t="str">
        <f>"12.4"</f>
        <v>12.4</v>
      </c>
      <c r="D25" t="s">
        <v>1454</v>
      </c>
    </row>
    <row r="26" spans="1:4" x14ac:dyDescent="0.25">
      <c r="A26" t="str">
        <f>"1001758"</f>
        <v>1001758</v>
      </c>
      <c r="B26" t="s">
        <v>25</v>
      </c>
      <c r="C26" t="str">
        <f>"14.6"</f>
        <v>14.6</v>
      </c>
      <c r="D26" t="s">
        <v>1454</v>
      </c>
    </row>
    <row r="27" spans="1:4" x14ac:dyDescent="0.25">
      <c r="A27" t="str">
        <f>"8618"</f>
        <v>8618</v>
      </c>
      <c r="B27" t="s">
        <v>26</v>
      </c>
      <c r="C27" t="str">
        <f>"26.4"</f>
        <v>26.4</v>
      </c>
      <c r="D27" t="s">
        <v>1454</v>
      </c>
    </row>
    <row r="28" spans="1:4" x14ac:dyDescent="0.25">
      <c r="A28" t="str">
        <f>"8617"</f>
        <v>8617</v>
      </c>
      <c r="B28" t="s">
        <v>27</v>
      </c>
      <c r="C28" t="str">
        <f>"15.5"</f>
        <v>15.5</v>
      </c>
      <c r="D28" t="s">
        <v>1454</v>
      </c>
    </row>
    <row r="29" spans="1:4" x14ac:dyDescent="0.25">
      <c r="A29" t="str">
        <f>"8619"</f>
        <v>8619</v>
      </c>
      <c r="B29" t="s">
        <v>28</v>
      </c>
      <c r="C29" t="str">
        <f>"20.6"</f>
        <v>20.6</v>
      </c>
      <c r="D29" t="s">
        <v>1454</v>
      </c>
    </row>
    <row r="30" spans="1:4" x14ac:dyDescent="0.25">
      <c r="A30" t="str">
        <f>"33266"</f>
        <v>33266</v>
      </c>
      <c r="B30" t="s">
        <v>29</v>
      </c>
      <c r="C30" t="str">
        <f>"21.6"</f>
        <v>21.6</v>
      </c>
      <c r="D30" t="s">
        <v>1454</v>
      </c>
    </row>
    <row r="31" spans="1:4" x14ac:dyDescent="0.25">
      <c r="A31" t="str">
        <f>"80735"</f>
        <v>80735</v>
      </c>
      <c r="B31" t="s">
        <v>30</v>
      </c>
      <c r="C31" t="str">
        <f>"22.5"</f>
        <v>22.5</v>
      </c>
      <c r="D31" t="s">
        <v>1454</v>
      </c>
    </row>
    <row r="32" spans="1:4" x14ac:dyDescent="0.25">
      <c r="A32" t="str">
        <f>"72939"</f>
        <v>72939</v>
      </c>
      <c r="B32" t="s">
        <v>31</v>
      </c>
      <c r="C32" t="str">
        <f>"16.1"</f>
        <v>16.1</v>
      </c>
      <c r="D32" t="s">
        <v>1454</v>
      </c>
    </row>
    <row r="33" spans="1:4" x14ac:dyDescent="0.25">
      <c r="A33" t="str">
        <f>"10704"</f>
        <v>10704</v>
      </c>
      <c r="B33" t="s">
        <v>32</v>
      </c>
      <c r="C33" t="str">
        <f>"13.1"</f>
        <v>13.1</v>
      </c>
      <c r="D33" t="s">
        <v>1454</v>
      </c>
    </row>
    <row r="34" spans="1:4" x14ac:dyDescent="0.25">
      <c r="A34" t="str">
        <f>"70266"</f>
        <v>70266</v>
      </c>
      <c r="B34" t="s">
        <v>33</v>
      </c>
      <c r="C34" t="str">
        <f>"18.9"</f>
        <v>18.9</v>
      </c>
      <c r="D34" t="s">
        <v>1454</v>
      </c>
    </row>
    <row r="35" spans="1:4" x14ac:dyDescent="0.25">
      <c r="A35" t="str">
        <f>"353"</f>
        <v>353</v>
      </c>
      <c r="B35" t="s">
        <v>34</v>
      </c>
      <c r="C35" t="str">
        <f>"10.2"</f>
        <v>10.2</v>
      </c>
      <c r="D35" t="s">
        <v>1454</v>
      </c>
    </row>
    <row r="36" spans="1:4" x14ac:dyDescent="0.25">
      <c r="A36" t="str">
        <f>"8626"</f>
        <v>8626</v>
      </c>
      <c r="B36" t="s">
        <v>35</v>
      </c>
      <c r="C36" t="str">
        <f>"20.0"</f>
        <v>20.0</v>
      </c>
      <c r="D36" t="s">
        <v>1454</v>
      </c>
    </row>
    <row r="37" spans="1:4" x14ac:dyDescent="0.25">
      <c r="A37" t="str">
        <f>"8628"</f>
        <v>8628</v>
      </c>
      <c r="B37" t="s">
        <v>36</v>
      </c>
      <c r="C37" t="str">
        <f>"11.1"</f>
        <v>11.1</v>
      </c>
      <c r="D37" t="s">
        <v>1454</v>
      </c>
    </row>
    <row r="38" spans="1:4" x14ac:dyDescent="0.25">
      <c r="A38" t="str">
        <f>"71638"</f>
        <v>71638</v>
      </c>
      <c r="B38" t="s">
        <v>37</v>
      </c>
      <c r="C38" t="str">
        <f>"16.9"</f>
        <v>16.9</v>
      </c>
      <c r="D38" t="s">
        <v>1454</v>
      </c>
    </row>
    <row r="39" spans="1:4" x14ac:dyDescent="0.25">
      <c r="A39" t="str">
        <f>"8630"</f>
        <v>8630</v>
      </c>
      <c r="B39" t="s">
        <v>38</v>
      </c>
      <c r="C39" t="str">
        <f>"16.3"</f>
        <v>16.3</v>
      </c>
      <c r="D39" t="s">
        <v>1454</v>
      </c>
    </row>
    <row r="40" spans="1:4" x14ac:dyDescent="0.25">
      <c r="A40" t="str">
        <f>"8631"</f>
        <v>8631</v>
      </c>
      <c r="B40" t="s">
        <v>39</v>
      </c>
      <c r="C40" t="str">
        <f>"29.1"</f>
        <v>29.1</v>
      </c>
      <c r="D40" t="s">
        <v>1454</v>
      </c>
    </row>
    <row r="41" spans="1:4" x14ac:dyDescent="0.25">
      <c r="A41" t="str">
        <f>"41643"</f>
        <v>41643</v>
      </c>
      <c r="B41" t="s">
        <v>40</v>
      </c>
      <c r="C41" t="str">
        <f>"7.2"</f>
        <v>7.2</v>
      </c>
      <c r="D41" t="s">
        <v>1454</v>
      </c>
    </row>
    <row r="42" spans="1:4" x14ac:dyDescent="0.25">
      <c r="A42" t="str">
        <f>"6090"</f>
        <v>6090</v>
      </c>
      <c r="B42" t="s">
        <v>41</v>
      </c>
      <c r="C42" t="str">
        <f>"22.6"</f>
        <v>22.6</v>
      </c>
      <c r="D42" t="s">
        <v>1454</v>
      </c>
    </row>
    <row r="43" spans="1:4" x14ac:dyDescent="0.25">
      <c r="A43" t="str">
        <f>"72485"</f>
        <v>72485</v>
      </c>
      <c r="B43" t="s">
        <v>42</v>
      </c>
      <c r="C43" t="str">
        <f>"16.6"</f>
        <v>16.6</v>
      </c>
      <c r="D43" t="s">
        <v>1454</v>
      </c>
    </row>
    <row r="44" spans="1:4" x14ac:dyDescent="0.25">
      <c r="A44" t="str">
        <f>"8640"</f>
        <v>8640</v>
      </c>
      <c r="B44" t="s">
        <v>43</v>
      </c>
      <c r="C44" t="str">
        <f>"27.9"</f>
        <v>27.9</v>
      </c>
      <c r="D44" t="s">
        <v>1454</v>
      </c>
    </row>
    <row r="45" spans="1:4" x14ac:dyDescent="0.25">
      <c r="A45" t="str">
        <f>"73597"</f>
        <v>73597</v>
      </c>
      <c r="B45" t="s">
        <v>44</v>
      </c>
      <c r="C45" t="str">
        <f>"7.8"</f>
        <v>7.8</v>
      </c>
      <c r="D45" t="s">
        <v>1454</v>
      </c>
    </row>
    <row r="46" spans="1:4" x14ac:dyDescent="0.25">
      <c r="A46" t="str">
        <f>"16729"</f>
        <v>16729</v>
      </c>
      <c r="B46" t="s">
        <v>45</v>
      </c>
      <c r="C46" t="str">
        <f>"9.0"</f>
        <v>9.0</v>
      </c>
      <c r="D46" t="s">
        <v>1454</v>
      </c>
    </row>
    <row r="47" spans="1:4" x14ac:dyDescent="0.25">
      <c r="A47" t="str">
        <f>"10245"</f>
        <v>10245</v>
      </c>
      <c r="B47" t="s">
        <v>46</v>
      </c>
      <c r="C47" t="str">
        <f>"12.0"</f>
        <v>12.0</v>
      </c>
      <c r="D47" t="s">
        <v>1454</v>
      </c>
    </row>
    <row r="48" spans="1:4" x14ac:dyDescent="0.25">
      <c r="A48" t="str">
        <f>"77412"</f>
        <v>77412</v>
      </c>
      <c r="B48" t="s">
        <v>47</v>
      </c>
      <c r="C48" t="str">
        <f>"16.2"</f>
        <v>16.2</v>
      </c>
      <c r="D48" t="s">
        <v>1454</v>
      </c>
    </row>
    <row r="49" spans="1:4" x14ac:dyDescent="0.25">
      <c r="A49" t="str">
        <f>"49409"</f>
        <v>49409</v>
      </c>
      <c r="B49" t="s">
        <v>48</v>
      </c>
      <c r="C49" t="str">
        <f>"10.2"</f>
        <v>10.2</v>
      </c>
      <c r="D49" t="s">
        <v>1454</v>
      </c>
    </row>
    <row r="50" spans="1:4" x14ac:dyDescent="0.25">
      <c r="A50" t="str">
        <f>"74174"</f>
        <v>74174</v>
      </c>
      <c r="B50" t="s">
        <v>49</v>
      </c>
      <c r="C50" t="str">
        <f>"13.5"</f>
        <v>13.5</v>
      </c>
      <c r="D50" t="s">
        <v>1454</v>
      </c>
    </row>
    <row r="51" spans="1:4" x14ac:dyDescent="0.25">
      <c r="A51" t="str">
        <f>"1011445"</f>
        <v>1011445</v>
      </c>
      <c r="B51" t="s">
        <v>50</v>
      </c>
      <c r="C51" t="s">
        <v>1</v>
      </c>
      <c r="D51" t="s">
        <v>1454</v>
      </c>
    </row>
    <row r="52" spans="1:4" x14ac:dyDescent="0.25">
      <c r="A52" t="str">
        <f>"79367"</f>
        <v>79367</v>
      </c>
      <c r="B52" t="s">
        <v>51</v>
      </c>
      <c r="C52" t="str">
        <f>"30.6"</f>
        <v>30.6</v>
      </c>
      <c r="D52" t="s">
        <v>1454</v>
      </c>
    </row>
    <row r="53" spans="1:4" x14ac:dyDescent="0.25">
      <c r="A53" t="str">
        <f>"1011183"</f>
        <v>1011183</v>
      </c>
      <c r="B53" t="s">
        <v>52</v>
      </c>
      <c r="C53" t="str">
        <f>"16.7"</f>
        <v>16.7</v>
      </c>
      <c r="D53" t="s">
        <v>1454</v>
      </c>
    </row>
    <row r="54" spans="1:4" x14ac:dyDescent="0.25">
      <c r="A54" t="str">
        <f>"8648"</f>
        <v>8648</v>
      </c>
      <c r="B54" t="s">
        <v>53</v>
      </c>
      <c r="C54" t="str">
        <f>"15.7"</f>
        <v>15.7</v>
      </c>
      <c r="D54" t="s">
        <v>1454</v>
      </c>
    </row>
    <row r="55" spans="1:4" x14ac:dyDescent="0.25">
      <c r="A55" t="str">
        <f>"36964"</f>
        <v>36964</v>
      </c>
      <c r="B55" t="s">
        <v>54</v>
      </c>
      <c r="C55" t="str">
        <f>"26.8"</f>
        <v>26.8</v>
      </c>
      <c r="D55" t="s">
        <v>1454</v>
      </c>
    </row>
    <row r="56" spans="1:4" x14ac:dyDescent="0.25">
      <c r="A56" t="str">
        <f>"1003942"</f>
        <v>1003942</v>
      </c>
      <c r="B56" t="s">
        <v>55</v>
      </c>
      <c r="C56" t="str">
        <f>"15.0"</f>
        <v>15.0</v>
      </c>
      <c r="D56" t="s">
        <v>1454</v>
      </c>
    </row>
    <row r="57" spans="1:4" x14ac:dyDescent="0.25">
      <c r="A57" t="str">
        <f>"8649"</f>
        <v>8649</v>
      </c>
      <c r="B57" t="s">
        <v>56</v>
      </c>
      <c r="C57" t="str">
        <f>"18.1"</f>
        <v>18.1</v>
      </c>
      <c r="D57" t="s">
        <v>1454</v>
      </c>
    </row>
    <row r="58" spans="1:4" x14ac:dyDescent="0.25">
      <c r="A58" t="str">
        <f>"1002108"</f>
        <v>1002108</v>
      </c>
      <c r="B58" t="s">
        <v>57</v>
      </c>
      <c r="C58" t="str">
        <f>"22.6"</f>
        <v>22.6</v>
      </c>
      <c r="D58" t="s">
        <v>1454</v>
      </c>
    </row>
    <row r="59" spans="1:4" x14ac:dyDescent="0.25">
      <c r="A59" t="str">
        <f>"8651"</f>
        <v>8651</v>
      </c>
      <c r="B59" t="s">
        <v>58</v>
      </c>
      <c r="C59" t="str">
        <f>"16.1"</f>
        <v>16.1</v>
      </c>
      <c r="D59" t="s">
        <v>1454</v>
      </c>
    </row>
    <row r="60" spans="1:4" x14ac:dyDescent="0.25">
      <c r="A60" t="str">
        <f>"19657"</f>
        <v>19657</v>
      </c>
      <c r="B60" t="s">
        <v>59</v>
      </c>
      <c r="C60" t="str">
        <f>"12.9"</f>
        <v>12.9</v>
      </c>
      <c r="D60" t="s">
        <v>1454</v>
      </c>
    </row>
    <row r="61" spans="1:4" x14ac:dyDescent="0.25">
      <c r="A61" t="str">
        <f>"8654"</f>
        <v>8654</v>
      </c>
      <c r="B61" t="s">
        <v>60</v>
      </c>
      <c r="C61" t="str">
        <f>"17.6"</f>
        <v>17.6</v>
      </c>
      <c r="D61" t="s">
        <v>1454</v>
      </c>
    </row>
    <row r="62" spans="1:4" x14ac:dyDescent="0.25">
      <c r="A62" t="str">
        <f>"80182"</f>
        <v>80182</v>
      </c>
      <c r="B62" t="s">
        <v>61</v>
      </c>
      <c r="C62" t="str">
        <f>"22.1"</f>
        <v>22.1</v>
      </c>
      <c r="D62" t="s">
        <v>1454</v>
      </c>
    </row>
    <row r="63" spans="1:4" x14ac:dyDescent="0.25">
      <c r="A63" t="str">
        <f>"8652"</f>
        <v>8652</v>
      </c>
      <c r="B63" t="s">
        <v>62</v>
      </c>
      <c r="C63" t="str">
        <f>"12.8"</f>
        <v>12.8</v>
      </c>
      <c r="D63" t="s">
        <v>1454</v>
      </c>
    </row>
    <row r="64" spans="1:4" x14ac:dyDescent="0.25">
      <c r="A64" t="str">
        <f>"50104"</f>
        <v>50104</v>
      </c>
      <c r="B64" t="s">
        <v>63</v>
      </c>
      <c r="C64" t="str">
        <f>"13.2"</f>
        <v>13.2</v>
      </c>
      <c r="D64" t="s">
        <v>1454</v>
      </c>
    </row>
    <row r="65" spans="1:4" x14ac:dyDescent="0.25">
      <c r="A65" t="str">
        <f>"76138"</f>
        <v>76138</v>
      </c>
      <c r="B65" t="s">
        <v>64</v>
      </c>
      <c r="C65" t="str">
        <f>"24.7"</f>
        <v>24.7</v>
      </c>
      <c r="D65" t="s">
        <v>1454</v>
      </c>
    </row>
    <row r="66" spans="1:4" x14ac:dyDescent="0.25">
      <c r="A66" t="str">
        <f>"36824"</f>
        <v>36824</v>
      </c>
      <c r="B66" t="s">
        <v>65</v>
      </c>
      <c r="C66" t="str">
        <f>"14.0"</f>
        <v>14.0</v>
      </c>
      <c r="D66" t="s">
        <v>1454</v>
      </c>
    </row>
    <row r="67" spans="1:4" x14ac:dyDescent="0.25">
      <c r="A67" t="str">
        <f>"8660"</f>
        <v>8660</v>
      </c>
      <c r="B67" t="s">
        <v>66</v>
      </c>
      <c r="C67" t="str">
        <f>"16.3"</f>
        <v>16.3</v>
      </c>
      <c r="D67" t="s">
        <v>1454</v>
      </c>
    </row>
    <row r="68" spans="1:4" x14ac:dyDescent="0.25">
      <c r="A68" t="str">
        <f>"50936"</f>
        <v>50936</v>
      </c>
      <c r="B68" t="s">
        <v>67</v>
      </c>
      <c r="C68" t="str">
        <f>"18.3"</f>
        <v>18.3</v>
      </c>
      <c r="D68" t="s">
        <v>1454</v>
      </c>
    </row>
    <row r="69" spans="1:4" x14ac:dyDescent="0.25">
      <c r="A69" t="str">
        <f>"72428"</f>
        <v>72428</v>
      </c>
      <c r="B69" t="s">
        <v>68</v>
      </c>
      <c r="C69" t="str">
        <f>"22.8"</f>
        <v>22.8</v>
      </c>
      <c r="D69" t="s">
        <v>1454</v>
      </c>
    </row>
    <row r="70" spans="1:4" x14ac:dyDescent="0.25">
      <c r="A70" t="str">
        <f>"8666"</f>
        <v>8666</v>
      </c>
      <c r="B70" t="s">
        <v>69</v>
      </c>
      <c r="C70" t="str">
        <f>"16.0"</f>
        <v>16.0</v>
      </c>
      <c r="D70" t="s">
        <v>1454</v>
      </c>
    </row>
    <row r="71" spans="1:4" x14ac:dyDescent="0.25">
      <c r="A71" t="str">
        <f>"8667"</f>
        <v>8667</v>
      </c>
      <c r="B71" t="s">
        <v>70</v>
      </c>
      <c r="C71" t="str">
        <f>"27.1"</f>
        <v>27.1</v>
      </c>
      <c r="D71" t="s">
        <v>1454</v>
      </c>
    </row>
    <row r="72" spans="1:4" x14ac:dyDescent="0.25">
      <c r="A72" t="str">
        <f>"1002028"</f>
        <v>1002028</v>
      </c>
      <c r="B72" t="s">
        <v>71</v>
      </c>
      <c r="C72" t="str">
        <f>"38.4"</f>
        <v>38.4</v>
      </c>
      <c r="D72" t="s">
        <v>1454</v>
      </c>
    </row>
    <row r="73" spans="1:4" x14ac:dyDescent="0.25">
      <c r="A73" t="str">
        <f>"1006132"</f>
        <v>1006132</v>
      </c>
      <c r="B73" t="s">
        <v>72</v>
      </c>
      <c r="C73" t="str">
        <f>"21.1000"</f>
        <v>21.1000</v>
      </c>
      <c r="D73" t="s">
        <v>1454</v>
      </c>
    </row>
    <row r="74" spans="1:4" x14ac:dyDescent="0.25">
      <c r="A74" t="str">
        <f>"73953"</f>
        <v>73953</v>
      </c>
      <c r="B74" t="s">
        <v>73</v>
      </c>
      <c r="C74" t="str">
        <f>"11.7"</f>
        <v>11.7</v>
      </c>
      <c r="D74" t="s">
        <v>1454</v>
      </c>
    </row>
    <row r="75" spans="1:4" x14ac:dyDescent="0.25">
      <c r="A75" t="str">
        <f>"8678"</f>
        <v>8678</v>
      </c>
      <c r="B75" t="s">
        <v>74</v>
      </c>
      <c r="C75" t="str">
        <f>"20.9"</f>
        <v>20.9</v>
      </c>
      <c r="D75" t="s">
        <v>1454</v>
      </c>
    </row>
    <row r="76" spans="1:4" x14ac:dyDescent="0.25">
      <c r="A76" t="str">
        <f>"50659"</f>
        <v>50659</v>
      </c>
      <c r="B76" t="s">
        <v>75</v>
      </c>
      <c r="C76" t="str">
        <f>"16.8"</f>
        <v>16.8</v>
      </c>
      <c r="D76" t="s">
        <v>1454</v>
      </c>
    </row>
    <row r="77" spans="1:4" x14ac:dyDescent="0.25">
      <c r="A77" t="str">
        <f>"60679"</f>
        <v>60679</v>
      </c>
      <c r="B77" t="s">
        <v>76</v>
      </c>
      <c r="C77" t="str">
        <f>"16.0"</f>
        <v>16.0</v>
      </c>
      <c r="D77" t="s">
        <v>1454</v>
      </c>
    </row>
    <row r="78" spans="1:4" x14ac:dyDescent="0.25">
      <c r="A78" t="str">
        <f>"48707"</f>
        <v>48707</v>
      </c>
      <c r="B78" t="s">
        <v>77</v>
      </c>
      <c r="C78" t="str">
        <f>"13.5"</f>
        <v>13.5</v>
      </c>
      <c r="D78" t="s">
        <v>1454</v>
      </c>
    </row>
    <row r="79" spans="1:4" x14ac:dyDescent="0.25">
      <c r="A79" t="str">
        <f>"12563"</f>
        <v>12563</v>
      </c>
      <c r="B79" t="s">
        <v>78</v>
      </c>
      <c r="C79" t="str">
        <f>"14.6"</f>
        <v>14.6</v>
      </c>
      <c r="D79" t="s">
        <v>1454</v>
      </c>
    </row>
    <row r="80" spans="1:4" x14ac:dyDescent="0.25">
      <c r="A80" t="str">
        <f>"8699"</f>
        <v>8699</v>
      </c>
      <c r="B80" t="s">
        <v>79</v>
      </c>
      <c r="C80" t="str">
        <f>"20.2"</f>
        <v>20.2</v>
      </c>
      <c r="D80" t="s">
        <v>1454</v>
      </c>
    </row>
    <row r="81" spans="1:4" x14ac:dyDescent="0.25">
      <c r="A81" t="str">
        <f>"73321"</f>
        <v>73321</v>
      </c>
      <c r="B81" t="s">
        <v>80</v>
      </c>
      <c r="C81" t="str">
        <f>"16.7"</f>
        <v>16.7</v>
      </c>
      <c r="D81" t="s">
        <v>1454</v>
      </c>
    </row>
    <row r="82" spans="1:4" x14ac:dyDescent="0.25">
      <c r="A82" t="str">
        <f>"36590"</f>
        <v>36590</v>
      </c>
      <c r="B82" t="s">
        <v>81</v>
      </c>
      <c r="C82" t="str">
        <f>"19.8"</f>
        <v>19.8</v>
      </c>
      <c r="D82" t="s">
        <v>1454</v>
      </c>
    </row>
    <row r="83" spans="1:4" x14ac:dyDescent="0.25">
      <c r="A83" t="str">
        <f>"8702"</f>
        <v>8702</v>
      </c>
      <c r="B83" t="s">
        <v>82</v>
      </c>
      <c r="C83" t="str">
        <f>"27.6"</f>
        <v>27.6</v>
      </c>
      <c r="D83" t="s">
        <v>1454</v>
      </c>
    </row>
    <row r="84" spans="1:4" x14ac:dyDescent="0.25">
      <c r="A84" t="str">
        <f>"8703"</f>
        <v>8703</v>
      </c>
      <c r="B84" t="s">
        <v>83</v>
      </c>
      <c r="C84" t="str">
        <f>"10.7"</f>
        <v>10.7</v>
      </c>
      <c r="D84" t="s">
        <v>1454</v>
      </c>
    </row>
    <row r="85" spans="1:4" x14ac:dyDescent="0.25">
      <c r="A85" t="str">
        <f>"1003596"</f>
        <v>1003596</v>
      </c>
      <c r="B85" t="s">
        <v>84</v>
      </c>
      <c r="C85" t="str">
        <f>"16.5"</f>
        <v>16.5</v>
      </c>
      <c r="D85" t="s">
        <v>1454</v>
      </c>
    </row>
    <row r="86" spans="1:4" x14ac:dyDescent="0.25">
      <c r="A86" t="str">
        <f>"59599"</f>
        <v>59599</v>
      </c>
      <c r="B86" t="s">
        <v>85</v>
      </c>
      <c r="C86" t="str">
        <f>"19.1"</f>
        <v>19.1</v>
      </c>
      <c r="D86" t="s">
        <v>1454</v>
      </c>
    </row>
    <row r="87" spans="1:4" x14ac:dyDescent="0.25">
      <c r="A87" t="str">
        <f>"10268"</f>
        <v>10268</v>
      </c>
      <c r="B87" t="s">
        <v>86</v>
      </c>
      <c r="C87" t="str">
        <f>"16.7"</f>
        <v>16.7</v>
      </c>
      <c r="D87" t="s">
        <v>1454</v>
      </c>
    </row>
    <row r="88" spans="1:4" x14ac:dyDescent="0.25">
      <c r="A88" t="str">
        <f>"8716"</f>
        <v>8716</v>
      </c>
      <c r="B88" t="s">
        <v>87</v>
      </c>
      <c r="C88" t="str">
        <f>"24.1"</f>
        <v>24.1</v>
      </c>
      <c r="D88" t="s">
        <v>1454</v>
      </c>
    </row>
    <row r="89" spans="1:4" x14ac:dyDescent="0.25">
      <c r="A89" t="str">
        <f>"8717"</f>
        <v>8717</v>
      </c>
      <c r="B89" t="s">
        <v>88</v>
      </c>
      <c r="C89" t="str">
        <f>"17.8"</f>
        <v>17.8</v>
      </c>
      <c r="D89" t="s">
        <v>1454</v>
      </c>
    </row>
    <row r="90" spans="1:4" x14ac:dyDescent="0.25">
      <c r="A90" t="str">
        <f>"8718"</f>
        <v>8718</v>
      </c>
      <c r="B90" t="s">
        <v>89</v>
      </c>
      <c r="C90" t="str">
        <f>"19.3"</f>
        <v>19.3</v>
      </c>
      <c r="D90" t="s">
        <v>1454</v>
      </c>
    </row>
    <row r="91" spans="1:4" x14ac:dyDescent="0.25">
      <c r="A91" t="str">
        <f>"8719"</f>
        <v>8719</v>
      </c>
      <c r="B91" t="s">
        <v>90</v>
      </c>
      <c r="C91" t="str">
        <f>"20.5"</f>
        <v>20.5</v>
      </c>
      <c r="D91" t="s">
        <v>1454</v>
      </c>
    </row>
    <row r="92" spans="1:4" x14ac:dyDescent="0.25">
      <c r="A92" t="str">
        <f>"8720"</f>
        <v>8720</v>
      </c>
      <c r="B92" t="s">
        <v>91</v>
      </c>
      <c r="C92" t="str">
        <f>"16.6"</f>
        <v>16.6</v>
      </c>
      <c r="D92" t="s">
        <v>1454</v>
      </c>
    </row>
    <row r="93" spans="1:4" x14ac:dyDescent="0.25">
      <c r="A93" t="str">
        <f>"70755"</f>
        <v>70755</v>
      </c>
      <c r="B93" t="s">
        <v>92</v>
      </c>
      <c r="C93" t="str">
        <f>"21.4"</f>
        <v>21.4</v>
      </c>
      <c r="D93" t="s">
        <v>1454</v>
      </c>
    </row>
    <row r="94" spans="1:4" x14ac:dyDescent="0.25">
      <c r="A94" t="str">
        <f>"8722"</f>
        <v>8722</v>
      </c>
      <c r="B94" t="s">
        <v>93</v>
      </c>
      <c r="C94" t="str">
        <f>"18.7"</f>
        <v>18.7</v>
      </c>
      <c r="D94" t="s">
        <v>1454</v>
      </c>
    </row>
    <row r="95" spans="1:4" x14ac:dyDescent="0.25">
      <c r="A95" t="str">
        <f>"70754"</f>
        <v>70754</v>
      </c>
      <c r="B95" t="s">
        <v>94</v>
      </c>
      <c r="C95" t="str">
        <f>"14.4"</f>
        <v>14.4</v>
      </c>
      <c r="D95" t="s">
        <v>1454</v>
      </c>
    </row>
    <row r="96" spans="1:4" x14ac:dyDescent="0.25">
      <c r="A96" t="str">
        <f>"43224"</f>
        <v>43224</v>
      </c>
      <c r="B96" t="s">
        <v>95</v>
      </c>
      <c r="C96" t="str">
        <f>"11.4"</f>
        <v>11.4</v>
      </c>
      <c r="D96" t="s">
        <v>1454</v>
      </c>
    </row>
    <row r="97" spans="1:4" x14ac:dyDescent="0.25">
      <c r="A97" t="str">
        <f>"36808"</f>
        <v>36808</v>
      </c>
      <c r="B97" t="s">
        <v>96</v>
      </c>
      <c r="C97" t="str">
        <f>"22.7"</f>
        <v>22.7</v>
      </c>
      <c r="D97" t="s">
        <v>1454</v>
      </c>
    </row>
    <row r="98" spans="1:4" x14ac:dyDescent="0.25">
      <c r="A98" t="str">
        <f>"1010483"</f>
        <v>1010483</v>
      </c>
      <c r="B98" t="s">
        <v>97</v>
      </c>
      <c r="C98" t="str">
        <f>"12.8"</f>
        <v>12.8</v>
      </c>
      <c r="D98" t="s">
        <v>1454</v>
      </c>
    </row>
    <row r="99" spans="1:4" x14ac:dyDescent="0.25">
      <c r="A99" t="str">
        <f>"73145"</f>
        <v>73145</v>
      </c>
      <c r="B99" t="s">
        <v>98</v>
      </c>
      <c r="C99" t="str">
        <f>"21.2"</f>
        <v>21.2</v>
      </c>
      <c r="D99" t="s">
        <v>1454</v>
      </c>
    </row>
    <row r="100" spans="1:4" x14ac:dyDescent="0.25">
      <c r="A100" t="str">
        <f>"73149"</f>
        <v>73149</v>
      </c>
      <c r="B100" t="s">
        <v>99</v>
      </c>
      <c r="C100" t="str">
        <f>"11.3"</f>
        <v>11.3</v>
      </c>
      <c r="D100" t="s">
        <v>1454</v>
      </c>
    </row>
    <row r="101" spans="1:4" x14ac:dyDescent="0.25">
      <c r="A101" t="str">
        <f>"8728"</f>
        <v>8728</v>
      </c>
      <c r="B101" t="s">
        <v>100</v>
      </c>
      <c r="C101" t="str">
        <f>"5.1"</f>
        <v>5.1</v>
      </c>
      <c r="D101" t="s">
        <v>1454</v>
      </c>
    </row>
    <row r="102" spans="1:4" x14ac:dyDescent="0.25">
      <c r="A102" t="str">
        <f>"8729"</f>
        <v>8729</v>
      </c>
      <c r="B102" t="s">
        <v>101</v>
      </c>
      <c r="C102" t="str">
        <f>"26.5"</f>
        <v>26.5</v>
      </c>
      <c r="D102" t="s">
        <v>1454</v>
      </c>
    </row>
    <row r="103" spans="1:4" x14ac:dyDescent="0.25">
      <c r="A103" t="str">
        <f>"8731"</f>
        <v>8731</v>
      </c>
      <c r="B103" t="s">
        <v>102</v>
      </c>
      <c r="C103" t="str">
        <f>"16.7"</f>
        <v>16.7</v>
      </c>
      <c r="D103" t="s">
        <v>1454</v>
      </c>
    </row>
    <row r="104" spans="1:4" x14ac:dyDescent="0.25">
      <c r="A104" t="str">
        <f>"8734"</f>
        <v>8734</v>
      </c>
      <c r="B104" t="s">
        <v>103</v>
      </c>
      <c r="C104" t="str">
        <f>"20.3"</f>
        <v>20.3</v>
      </c>
      <c r="D104" t="s">
        <v>1454</v>
      </c>
    </row>
    <row r="105" spans="1:4" x14ac:dyDescent="0.25">
      <c r="A105" t="str">
        <f>"72424"</f>
        <v>72424</v>
      </c>
      <c r="B105" t="s">
        <v>104</v>
      </c>
      <c r="C105" t="str">
        <f>"21.3"</f>
        <v>21.3</v>
      </c>
      <c r="D105" t="s">
        <v>1454</v>
      </c>
    </row>
    <row r="106" spans="1:4" x14ac:dyDescent="0.25">
      <c r="A106" t="str">
        <f>"72195"</f>
        <v>72195</v>
      </c>
      <c r="B106" t="s">
        <v>105</v>
      </c>
      <c r="C106" t="str">
        <f>"14.8"</f>
        <v>14.8</v>
      </c>
      <c r="D106" t="s">
        <v>1454</v>
      </c>
    </row>
    <row r="107" spans="1:4" x14ac:dyDescent="0.25">
      <c r="A107" t="str">
        <f>"8739"</f>
        <v>8739</v>
      </c>
      <c r="B107" t="s">
        <v>106</v>
      </c>
      <c r="C107" t="str">
        <f>"21.9"</f>
        <v>21.9</v>
      </c>
      <c r="D107" t="s">
        <v>1454</v>
      </c>
    </row>
    <row r="108" spans="1:4" x14ac:dyDescent="0.25">
      <c r="A108" t="str">
        <f>"67978"</f>
        <v>67978</v>
      </c>
      <c r="B108" t="s">
        <v>107</v>
      </c>
      <c r="C108" t="str">
        <f>"16.6"</f>
        <v>16.6</v>
      </c>
      <c r="D108" t="s">
        <v>1454</v>
      </c>
    </row>
    <row r="109" spans="1:4" x14ac:dyDescent="0.25">
      <c r="A109" t="str">
        <f>"1008064"</f>
        <v>1008064</v>
      </c>
      <c r="B109" t="s">
        <v>108</v>
      </c>
      <c r="C109" t="str">
        <f>"47.2"</f>
        <v>47.2</v>
      </c>
      <c r="D109" t="s">
        <v>1454</v>
      </c>
    </row>
    <row r="110" spans="1:4" x14ac:dyDescent="0.25">
      <c r="A110" t="str">
        <f>"75605"</f>
        <v>75605</v>
      </c>
      <c r="B110" t="s">
        <v>109</v>
      </c>
      <c r="C110" t="str">
        <f>"5.5"</f>
        <v>5.5</v>
      </c>
      <c r="D110" t="s">
        <v>1454</v>
      </c>
    </row>
    <row r="111" spans="1:4" x14ac:dyDescent="0.25">
      <c r="A111" t="str">
        <f>"1008144"</f>
        <v>1008144</v>
      </c>
      <c r="B111" t="s">
        <v>110</v>
      </c>
      <c r="C111" t="str">
        <f>"15.2"</f>
        <v>15.2</v>
      </c>
      <c r="D111" t="s">
        <v>1454</v>
      </c>
    </row>
    <row r="112" spans="1:4" x14ac:dyDescent="0.25">
      <c r="A112" t="str">
        <f>"1006663"</f>
        <v>1006663</v>
      </c>
      <c r="B112" t="s">
        <v>111</v>
      </c>
      <c r="C112" t="str">
        <f>"20.8"</f>
        <v>20.8</v>
      </c>
      <c r="D112" t="s">
        <v>1454</v>
      </c>
    </row>
    <row r="113" spans="1:4" x14ac:dyDescent="0.25">
      <c r="A113" t="str">
        <f>"1007668"</f>
        <v>1007668</v>
      </c>
      <c r="B113" t="s">
        <v>112</v>
      </c>
      <c r="C113" t="str">
        <f>"6.6"</f>
        <v>6.6</v>
      </c>
      <c r="D113" t="s">
        <v>1454</v>
      </c>
    </row>
    <row r="114" spans="1:4" x14ac:dyDescent="0.25">
      <c r="A114" t="str">
        <f>"8741"</f>
        <v>8741</v>
      </c>
      <c r="B114" t="s">
        <v>113</v>
      </c>
      <c r="C114" t="str">
        <f>"16.4"</f>
        <v>16.4</v>
      </c>
      <c r="D114" t="s">
        <v>1454</v>
      </c>
    </row>
    <row r="115" spans="1:4" x14ac:dyDescent="0.25">
      <c r="A115" t="str">
        <f>"10697"</f>
        <v>10697</v>
      </c>
      <c r="B115" t="s">
        <v>114</v>
      </c>
      <c r="C115" t="str">
        <f>"13.4"</f>
        <v>13.4</v>
      </c>
      <c r="D115" t="s">
        <v>1454</v>
      </c>
    </row>
    <row r="116" spans="1:4" x14ac:dyDescent="0.25">
      <c r="A116" t="str">
        <f>"76703"</f>
        <v>76703</v>
      </c>
      <c r="B116" t="s">
        <v>115</v>
      </c>
      <c r="C116" t="str">
        <f>"9.2"</f>
        <v>9.2</v>
      </c>
      <c r="D116" t="s">
        <v>1454</v>
      </c>
    </row>
    <row r="117" spans="1:4" x14ac:dyDescent="0.25">
      <c r="A117" t="str">
        <f>"34444"</f>
        <v>34444</v>
      </c>
      <c r="B117" t="s">
        <v>116</v>
      </c>
      <c r="C117" t="str">
        <f>"8.8"</f>
        <v>8.8</v>
      </c>
      <c r="D117" t="s">
        <v>1454</v>
      </c>
    </row>
    <row r="118" spans="1:4" x14ac:dyDescent="0.25">
      <c r="A118" t="str">
        <f>"8742"</f>
        <v>8742</v>
      </c>
      <c r="B118" t="s">
        <v>117</v>
      </c>
      <c r="C118" t="str">
        <f>"19.6"</f>
        <v>19.6</v>
      </c>
      <c r="D118" t="s">
        <v>1454</v>
      </c>
    </row>
    <row r="119" spans="1:4" x14ac:dyDescent="0.25">
      <c r="A119" t="str">
        <f>"8743"</f>
        <v>8743</v>
      </c>
      <c r="B119" t="s">
        <v>118</v>
      </c>
      <c r="C119" t="str">
        <f>"9.6"</f>
        <v>9.6</v>
      </c>
      <c r="D119" t="s">
        <v>1454</v>
      </c>
    </row>
    <row r="120" spans="1:4" x14ac:dyDescent="0.25">
      <c r="A120" t="str">
        <f>"1003674"</f>
        <v>1003674</v>
      </c>
      <c r="B120" t="s">
        <v>119</v>
      </c>
      <c r="C120" t="str">
        <f>"27.1"</f>
        <v>27.1</v>
      </c>
      <c r="D120" t="s">
        <v>1454</v>
      </c>
    </row>
    <row r="121" spans="1:4" x14ac:dyDescent="0.25">
      <c r="A121" t="str">
        <f>"68236"</f>
        <v>68236</v>
      </c>
      <c r="B121" t="s">
        <v>120</v>
      </c>
      <c r="C121" t="str">
        <f>"12.6"</f>
        <v>12.6</v>
      </c>
      <c r="D121" t="s">
        <v>1454</v>
      </c>
    </row>
    <row r="122" spans="1:4" x14ac:dyDescent="0.25">
      <c r="A122" t="str">
        <f>"8750"</f>
        <v>8750</v>
      </c>
      <c r="B122" t="s">
        <v>121</v>
      </c>
      <c r="C122" t="str">
        <f>"6.3"</f>
        <v>6.3</v>
      </c>
      <c r="D122" t="s">
        <v>1454</v>
      </c>
    </row>
    <row r="123" spans="1:4" x14ac:dyDescent="0.25">
      <c r="A123" t="str">
        <f>"1005913"</f>
        <v>1005913</v>
      </c>
      <c r="B123" t="s">
        <v>122</v>
      </c>
      <c r="C123" t="str">
        <f>"16.8"</f>
        <v>16.8</v>
      </c>
      <c r="D123" t="s">
        <v>1454</v>
      </c>
    </row>
    <row r="124" spans="1:4" x14ac:dyDescent="0.25">
      <c r="A124" t="str">
        <f>"8752"</f>
        <v>8752</v>
      </c>
      <c r="B124" t="s">
        <v>123</v>
      </c>
      <c r="C124" t="str">
        <f>"26.0"</f>
        <v>26.0</v>
      </c>
      <c r="D124" t="s">
        <v>1454</v>
      </c>
    </row>
    <row r="125" spans="1:4" x14ac:dyDescent="0.25">
      <c r="A125" t="str">
        <f>"8753"</f>
        <v>8753</v>
      </c>
      <c r="B125" t="s">
        <v>124</v>
      </c>
      <c r="C125" t="str">
        <f>"22.7"</f>
        <v>22.7</v>
      </c>
      <c r="D125" t="s">
        <v>1454</v>
      </c>
    </row>
    <row r="126" spans="1:4" x14ac:dyDescent="0.25">
      <c r="A126" t="str">
        <f>"8755"</f>
        <v>8755</v>
      </c>
      <c r="B126" t="s">
        <v>125</v>
      </c>
      <c r="C126" t="str">
        <f>"18.6"</f>
        <v>18.6</v>
      </c>
      <c r="D126" t="s">
        <v>1454</v>
      </c>
    </row>
    <row r="127" spans="1:4" x14ac:dyDescent="0.25">
      <c r="A127" t="str">
        <f>"1010479"</f>
        <v>1010479</v>
      </c>
      <c r="B127" t="s">
        <v>126</v>
      </c>
      <c r="C127" t="str">
        <f>"28.2"</f>
        <v>28.2</v>
      </c>
      <c r="D127" t="s">
        <v>1454</v>
      </c>
    </row>
    <row r="128" spans="1:4" x14ac:dyDescent="0.25">
      <c r="A128" t="str">
        <f>"50799"</f>
        <v>50799</v>
      </c>
      <c r="B128" t="s">
        <v>127</v>
      </c>
      <c r="C128" t="str">
        <f>"17.8"</f>
        <v>17.8</v>
      </c>
      <c r="D128" t="s">
        <v>1454</v>
      </c>
    </row>
    <row r="129" spans="1:4" x14ac:dyDescent="0.25">
      <c r="A129" t="str">
        <f>"32399"</f>
        <v>32399</v>
      </c>
      <c r="B129" t="s">
        <v>128</v>
      </c>
      <c r="C129" t="str">
        <f>"11.0"</f>
        <v>11.0</v>
      </c>
      <c r="D129" t="s">
        <v>1454</v>
      </c>
    </row>
    <row r="130" spans="1:4" x14ac:dyDescent="0.25">
      <c r="A130" t="str">
        <f>"8759"</f>
        <v>8759</v>
      </c>
      <c r="B130" t="s">
        <v>129</v>
      </c>
      <c r="C130" t="str">
        <f>"21.5"</f>
        <v>21.5</v>
      </c>
      <c r="D130" t="s">
        <v>1454</v>
      </c>
    </row>
    <row r="131" spans="1:4" x14ac:dyDescent="0.25">
      <c r="A131" t="str">
        <f>"1002986"</f>
        <v>1002986</v>
      </c>
      <c r="B131" t="s">
        <v>130</v>
      </c>
      <c r="C131" t="str">
        <f>"22.8"</f>
        <v>22.8</v>
      </c>
      <c r="D131" t="s">
        <v>1454</v>
      </c>
    </row>
    <row r="132" spans="1:4" x14ac:dyDescent="0.25">
      <c r="A132" t="str">
        <f>"19344"</f>
        <v>19344</v>
      </c>
      <c r="B132" t="s">
        <v>131</v>
      </c>
      <c r="C132" t="str">
        <f>"16.7"</f>
        <v>16.7</v>
      </c>
      <c r="D132" t="s">
        <v>1454</v>
      </c>
    </row>
    <row r="133" spans="1:4" x14ac:dyDescent="0.25">
      <c r="A133" t="str">
        <f>"77167"</f>
        <v>77167</v>
      </c>
      <c r="B133" t="s">
        <v>132</v>
      </c>
      <c r="C133" t="str">
        <f>"9.0"</f>
        <v>9.0</v>
      </c>
      <c r="D133" t="s">
        <v>1454</v>
      </c>
    </row>
    <row r="134" spans="1:4" x14ac:dyDescent="0.25">
      <c r="A134" t="str">
        <f>"77168"</f>
        <v>77168</v>
      </c>
      <c r="B134" t="s">
        <v>133</v>
      </c>
      <c r="C134" t="str">
        <f>"9.7"</f>
        <v>9.7</v>
      </c>
      <c r="D134" t="s">
        <v>1454</v>
      </c>
    </row>
    <row r="135" spans="1:4" x14ac:dyDescent="0.25">
      <c r="A135" t="str">
        <f>"10543"</f>
        <v>10543</v>
      </c>
      <c r="B135" t="s">
        <v>134</v>
      </c>
      <c r="C135" t="str">
        <f>"27.0"</f>
        <v>27.0</v>
      </c>
      <c r="D135" t="s">
        <v>1454</v>
      </c>
    </row>
    <row r="136" spans="1:4" x14ac:dyDescent="0.25">
      <c r="A136" t="str">
        <f>"8763"</f>
        <v>8763</v>
      </c>
      <c r="B136" t="s">
        <v>135</v>
      </c>
      <c r="C136" t="str">
        <f>"22.6"</f>
        <v>22.6</v>
      </c>
      <c r="D136" t="s">
        <v>1454</v>
      </c>
    </row>
    <row r="137" spans="1:4" x14ac:dyDescent="0.25">
      <c r="A137" t="str">
        <f>"8765"</f>
        <v>8765</v>
      </c>
      <c r="B137" t="s">
        <v>136</v>
      </c>
      <c r="C137" t="str">
        <f>"26.4"</f>
        <v>26.4</v>
      </c>
      <c r="D137" t="s">
        <v>1454</v>
      </c>
    </row>
    <row r="138" spans="1:4" x14ac:dyDescent="0.25">
      <c r="A138" t="str">
        <f>"1000963"</f>
        <v>1000963</v>
      </c>
      <c r="B138" t="s">
        <v>137</v>
      </c>
      <c r="C138" t="str">
        <f>"15.8"</f>
        <v>15.8</v>
      </c>
      <c r="D138" t="s">
        <v>1454</v>
      </c>
    </row>
    <row r="139" spans="1:4" x14ac:dyDescent="0.25">
      <c r="A139" t="str">
        <f>"54492"</f>
        <v>54492</v>
      </c>
      <c r="B139" t="s">
        <v>138</v>
      </c>
      <c r="C139" t="str">
        <f>"12.6"</f>
        <v>12.6</v>
      </c>
      <c r="D139" t="s">
        <v>1454</v>
      </c>
    </row>
    <row r="140" spans="1:4" x14ac:dyDescent="0.25">
      <c r="A140" t="str">
        <f>"80733"</f>
        <v>80733</v>
      </c>
      <c r="B140" t="s">
        <v>139</v>
      </c>
      <c r="C140" t="str">
        <f>"15.9"</f>
        <v>15.9</v>
      </c>
      <c r="D140" t="s">
        <v>1454</v>
      </c>
    </row>
    <row r="141" spans="1:4" x14ac:dyDescent="0.25">
      <c r="A141" t="str">
        <f>"8769"</f>
        <v>8769</v>
      </c>
      <c r="B141" t="s">
        <v>140</v>
      </c>
      <c r="C141" t="str">
        <f>"16.5"</f>
        <v>16.5</v>
      </c>
      <c r="D141" t="s">
        <v>1454</v>
      </c>
    </row>
    <row r="142" spans="1:4" x14ac:dyDescent="0.25">
      <c r="A142" t="str">
        <f>"75714"</f>
        <v>75714</v>
      </c>
      <c r="B142" t="s">
        <v>141</v>
      </c>
      <c r="C142" t="str">
        <f>"14.1"</f>
        <v>14.1</v>
      </c>
      <c r="D142" t="s">
        <v>1454</v>
      </c>
    </row>
    <row r="143" spans="1:4" x14ac:dyDescent="0.25">
      <c r="A143" t="str">
        <f>"48666"</f>
        <v>48666</v>
      </c>
      <c r="B143" t="s">
        <v>142</v>
      </c>
      <c r="C143" t="str">
        <f>"14.6"</f>
        <v>14.6</v>
      </c>
      <c r="D143" t="s">
        <v>1454</v>
      </c>
    </row>
    <row r="144" spans="1:4" x14ac:dyDescent="0.25">
      <c r="A144" t="str">
        <f>"79549"</f>
        <v>79549</v>
      </c>
      <c r="B144" t="s">
        <v>143</v>
      </c>
      <c r="C144" t="str">
        <f>"23.5"</f>
        <v>23.5</v>
      </c>
      <c r="D144" t="s">
        <v>1454</v>
      </c>
    </row>
    <row r="145" spans="1:4" x14ac:dyDescent="0.25">
      <c r="A145" t="str">
        <f>"45436"</f>
        <v>45436</v>
      </c>
      <c r="B145" t="s">
        <v>144</v>
      </c>
      <c r="C145" t="str">
        <f>"13.3"</f>
        <v>13.3</v>
      </c>
      <c r="D145" t="s">
        <v>1454</v>
      </c>
    </row>
    <row r="146" spans="1:4" x14ac:dyDescent="0.25">
      <c r="A146" t="str">
        <f>"70135"</f>
        <v>70135</v>
      </c>
      <c r="B146" t="s">
        <v>145</v>
      </c>
      <c r="C146" t="str">
        <f>"26.5"</f>
        <v>26.5</v>
      </c>
      <c r="D146" t="s">
        <v>1454</v>
      </c>
    </row>
    <row r="147" spans="1:4" x14ac:dyDescent="0.25">
      <c r="A147" t="str">
        <f>"8776"</f>
        <v>8776</v>
      </c>
      <c r="B147" t="s">
        <v>146</v>
      </c>
      <c r="C147" t="str">
        <f>"28.3"</f>
        <v>28.3</v>
      </c>
      <c r="D147" t="s">
        <v>1454</v>
      </c>
    </row>
    <row r="148" spans="1:4" x14ac:dyDescent="0.25">
      <c r="A148" t="str">
        <f>"8783"</f>
        <v>8783</v>
      </c>
      <c r="B148" t="s">
        <v>147</v>
      </c>
      <c r="C148" t="str">
        <f>"12.0"</f>
        <v>12.0</v>
      </c>
      <c r="D148" t="s">
        <v>1454</v>
      </c>
    </row>
    <row r="149" spans="1:4" x14ac:dyDescent="0.25">
      <c r="A149" t="str">
        <f>"993"</f>
        <v>993</v>
      </c>
      <c r="B149" t="s">
        <v>148</v>
      </c>
      <c r="C149" t="str">
        <f>"8.9"</f>
        <v>8.9</v>
      </c>
      <c r="D149" t="s">
        <v>1454</v>
      </c>
    </row>
    <row r="150" spans="1:4" x14ac:dyDescent="0.25">
      <c r="A150" t="str">
        <f>"1008936"</f>
        <v>1008936</v>
      </c>
      <c r="B150" t="s">
        <v>149</v>
      </c>
      <c r="C150" t="str">
        <f>"28.3"</f>
        <v>28.3</v>
      </c>
      <c r="D150" t="s">
        <v>1454</v>
      </c>
    </row>
    <row r="151" spans="1:4" x14ac:dyDescent="0.25">
      <c r="A151" t="str">
        <f>"18438"</f>
        <v>18438</v>
      </c>
      <c r="B151" t="s">
        <v>150</v>
      </c>
      <c r="C151" t="str">
        <f>"26.2"</f>
        <v>26.2</v>
      </c>
      <c r="D151" t="s">
        <v>1454</v>
      </c>
    </row>
    <row r="152" spans="1:4" x14ac:dyDescent="0.25">
      <c r="A152" t="str">
        <f>"8791"</f>
        <v>8791</v>
      </c>
      <c r="B152" t="s">
        <v>151</v>
      </c>
      <c r="C152" t="str">
        <f>"8.3"</f>
        <v>8.3</v>
      </c>
      <c r="D152" t="s">
        <v>1454</v>
      </c>
    </row>
    <row r="153" spans="1:4" x14ac:dyDescent="0.25">
      <c r="A153" t="str">
        <f>"67384"</f>
        <v>67384</v>
      </c>
      <c r="B153" t="s">
        <v>152</v>
      </c>
      <c r="C153" t="str">
        <f>"18.3"</f>
        <v>18.3</v>
      </c>
      <c r="D153" t="s">
        <v>1454</v>
      </c>
    </row>
    <row r="154" spans="1:4" x14ac:dyDescent="0.25">
      <c r="A154" t="str">
        <f>"10649"</f>
        <v>10649</v>
      </c>
      <c r="B154" t="s">
        <v>153</v>
      </c>
      <c r="C154" t="str">
        <f>"14.4"</f>
        <v>14.4</v>
      </c>
      <c r="D154" t="s">
        <v>1454</v>
      </c>
    </row>
    <row r="155" spans="1:4" x14ac:dyDescent="0.25">
      <c r="A155" t="str">
        <f>"36080"</f>
        <v>36080</v>
      </c>
      <c r="B155" t="s">
        <v>154</v>
      </c>
      <c r="C155" t="str">
        <f>"22.8"</f>
        <v>22.8</v>
      </c>
      <c r="D155" t="s">
        <v>1454</v>
      </c>
    </row>
    <row r="156" spans="1:4" x14ac:dyDescent="0.25">
      <c r="A156" t="str">
        <f>"48454"</f>
        <v>48454</v>
      </c>
      <c r="B156" t="s">
        <v>155</v>
      </c>
      <c r="C156" t="str">
        <f>"20.0"</f>
        <v>20.0</v>
      </c>
      <c r="D156" t="s">
        <v>1454</v>
      </c>
    </row>
    <row r="157" spans="1:4" x14ac:dyDescent="0.25">
      <c r="A157" t="str">
        <f>"48342"</f>
        <v>48342</v>
      </c>
      <c r="B157" t="s">
        <v>156</v>
      </c>
      <c r="C157" t="str">
        <f>"16.7"</f>
        <v>16.7</v>
      </c>
      <c r="D157" t="s">
        <v>1454</v>
      </c>
    </row>
    <row r="158" spans="1:4" x14ac:dyDescent="0.25">
      <c r="A158" t="str">
        <f>"6346"</f>
        <v>6346</v>
      </c>
      <c r="B158" t="s">
        <v>157</v>
      </c>
      <c r="C158" t="str">
        <f>"8.2"</f>
        <v>8.2</v>
      </c>
      <c r="D158" t="s">
        <v>1454</v>
      </c>
    </row>
    <row r="159" spans="1:4" x14ac:dyDescent="0.25">
      <c r="A159" t="str">
        <f>"51125"</f>
        <v>51125</v>
      </c>
      <c r="B159" t="s">
        <v>158</v>
      </c>
      <c r="C159" t="str">
        <f>"14.8"</f>
        <v>14.8</v>
      </c>
      <c r="D159" t="s">
        <v>1454</v>
      </c>
    </row>
    <row r="160" spans="1:4" x14ac:dyDescent="0.25">
      <c r="A160" t="str">
        <f>"69546"</f>
        <v>69546</v>
      </c>
      <c r="B160" t="s">
        <v>159</v>
      </c>
      <c r="C160" t="str">
        <f>"11.1"</f>
        <v>11.1</v>
      </c>
      <c r="D160" t="s">
        <v>1454</v>
      </c>
    </row>
    <row r="161" spans="1:4" x14ac:dyDescent="0.25">
      <c r="A161" t="str">
        <f>"64383"</f>
        <v>64383</v>
      </c>
      <c r="B161" t="s">
        <v>160</v>
      </c>
      <c r="C161" t="str">
        <f>"28.5"</f>
        <v>28.5</v>
      </c>
      <c r="D161" t="s">
        <v>1454</v>
      </c>
    </row>
    <row r="162" spans="1:4" x14ac:dyDescent="0.25">
      <c r="A162" t="str">
        <f>"36896"</f>
        <v>36896</v>
      </c>
      <c r="B162" t="s">
        <v>161</v>
      </c>
      <c r="C162" t="str">
        <f>"14.1"</f>
        <v>14.1</v>
      </c>
      <c r="D162" t="s">
        <v>1454</v>
      </c>
    </row>
    <row r="163" spans="1:4" x14ac:dyDescent="0.25">
      <c r="A163" t="str">
        <f>"68235"</f>
        <v>68235</v>
      </c>
      <c r="B163" t="s">
        <v>162</v>
      </c>
      <c r="C163" t="str">
        <f>"9.4"</f>
        <v>9.4</v>
      </c>
      <c r="D163" t="s">
        <v>1454</v>
      </c>
    </row>
    <row r="164" spans="1:4" x14ac:dyDescent="0.25">
      <c r="A164" t="str">
        <f>"79364"</f>
        <v>79364</v>
      </c>
      <c r="B164" t="s">
        <v>163</v>
      </c>
      <c r="C164" t="str">
        <f>"22.5"</f>
        <v>22.5</v>
      </c>
      <c r="D164" t="s">
        <v>1454</v>
      </c>
    </row>
    <row r="165" spans="1:4" x14ac:dyDescent="0.25">
      <c r="A165" t="str">
        <f>"73301"</f>
        <v>73301</v>
      </c>
      <c r="B165" t="s">
        <v>164</v>
      </c>
      <c r="C165" t="str">
        <f>"25.3"</f>
        <v>25.3</v>
      </c>
      <c r="D165" t="s">
        <v>1454</v>
      </c>
    </row>
    <row r="166" spans="1:4" x14ac:dyDescent="0.25">
      <c r="A166" t="str">
        <f>"70187"</f>
        <v>70187</v>
      </c>
      <c r="B166" t="s">
        <v>165</v>
      </c>
      <c r="C166" t="str">
        <f>"17.9"</f>
        <v>17.9</v>
      </c>
      <c r="D166" t="s">
        <v>1454</v>
      </c>
    </row>
    <row r="167" spans="1:4" x14ac:dyDescent="0.25">
      <c r="A167" t="str">
        <f>"8804"</f>
        <v>8804</v>
      </c>
      <c r="B167" t="s">
        <v>166</v>
      </c>
      <c r="C167" t="str">
        <f>"30.6"</f>
        <v>30.6</v>
      </c>
      <c r="D167" t="s">
        <v>1454</v>
      </c>
    </row>
    <row r="168" spans="1:4" x14ac:dyDescent="0.25">
      <c r="A168" t="str">
        <f>"69114"</f>
        <v>69114</v>
      </c>
      <c r="B168" t="s">
        <v>167</v>
      </c>
      <c r="C168" t="str">
        <f>"11.1"</f>
        <v>11.1</v>
      </c>
      <c r="D168" t="s">
        <v>1454</v>
      </c>
    </row>
    <row r="169" spans="1:4" x14ac:dyDescent="0.25">
      <c r="A169" t="str">
        <f>"70263"</f>
        <v>70263</v>
      </c>
      <c r="B169" t="s">
        <v>168</v>
      </c>
      <c r="C169" t="str">
        <f>"19.5"</f>
        <v>19.5</v>
      </c>
      <c r="D169" t="s">
        <v>1454</v>
      </c>
    </row>
    <row r="170" spans="1:4" x14ac:dyDescent="0.25">
      <c r="A170" t="str">
        <f>"80768"</f>
        <v>80768</v>
      </c>
      <c r="B170" t="s">
        <v>169</v>
      </c>
      <c r="C170" t="str">
        <f>"26.0"</f>
        <v>26.0</v>
      </c>
      <c r="D170" t="s">
        <v>1454</v>
      </c>
    </row>
    <row r="171" spans="1:4" x14ac:dyDescent="0.25">
      <c r="A171" t="str">
        <f>"7678"</f>
        <v>7678</v>
      </c>
      <c r="B171" t="s">
        <v>170</v>
      </c>
      <c r="C171" t="str">
        <f>"20.9"</f>
        <v>20.9</v>
      </c>
      <c r="D171" t="s">
        <v>1454</v>
      </c>
    </row>
    <row r="172" spans="1:4" x14ac:dyDescent="0.25">
      <c r="A172" t="str">
        <f>"67283"</f>
        <v>67283</v>
      </c>
      <c r="B172" t="s">
        <v>171</v>
      </c>
      <c r="C172" t="str">
        <f>"24.8"</f>
        <v>24.8</v>
      </c>
      <c r="D172" t="s">
        <v>1454</v>
      </c>
    </row>
    <row r="173" spans="1:4" x14ac:dyDescent="0.25">
      <c r="A173" t="str">
        <f>"69785"</f>
        <v>69785</v>
      </c>
      <c r="B173" t="s">
        <v>172</v>
      </c>
      <c r="C173" t="str">
        <f>"31.8000"</f>
        <v>31.8000</v>
      </c>
      <c r="D173" t="s">
        <v>1454</v>
      </c>
    </row>
    <row r="174" spans="1:4" x14ac:dyDescent="0.25">
      <c r="A174" t="str">
        <f>"77893"</f>
        <v>77893</v>
      </c>
      <c r="B174" t="s">
        <v>173</v>
      </c>
      <c r="C174" t="str">
        <f>"14.7"</f>
        <v>14.7</v>
      </c>
      <c r="D174" t="s">
        <v>1454</v>
      </c>
    </row>
    <row r="175" spans="1:4" x14ac:dyDescent="0.25">
      <c r="A175" t="str">
        <f>"19376"</f>
        <v>19376</v>
      </c>
      <c r="B175" t="s">
        <v>174</v>
      </c>
      <c r="C175" t="str">
        <f>"18.6"</f>
        <v>18.6</v>
      </c>
      <c r="D175" t="s">
        <v>1454</v>
      </c>
    </row>
    <row r="176" spans="1:4" x14ac:dyDescent="0.25">
      <c r="A176" t="str">
        <f>"8809"</f>
        <v>8809</v>
      </c>
      <c r="B176" t="s">
        <v>175</v>
      </c>
      <c r="C176" t="str">
        <f>"22.3"</f>
        <v>22.3</v>
      </c>
      <c r="D176" t="s">
        <v>1454</v>
      </c>
    </row>
    <row r="177" spans="1:4" x14ac:dyDescent="0.25">
      <c r="A177" t="str">
        <f>"65945"</f>
        <v>65945</v>
      </c>
      <c r="B177" t="s">
        <v>176</v>
      </c>
      <c r="C177" t="str">
        <f>"28.5"</f>
        <v>28.5</v>
      </c>
      <c r="D177" t="s">
        <v>1454</v>
      </c>
    </row>
    <row r="178" spans="1:4" x14ac:dyDescent="0.25">
      <c r="A178" t="str">
        <f>"36226"</f>
        <v>36226</v>
      </c>
      <c r="B178" t="s">
        <v>177</v>
      </c>
      <c r="C178" t="str">
        <f>"10.8"</f>
        <v>10.8</v>
      </c>
      <c r="D178" t="s">
        <v>1454</v>
      </c>
    </row>
    <row r="179" spans="1:4" x14ac:dyDescent="0.25">
      <c r="A179" t="str">
        <f>"1002347"</f>
        <v>1002347</v>
      </c>
      <c r="B179" t="s">
        <v>178</v>
      </c>
      <c r="C179" t="str">
        <f>"16.7"</f>
        <v>16.7</v>
      </c>
      <c r="D179" t="s">
        <v>1454</v>
      </c>
    </row>
    <row r="180" spans="1:4" x14ac:dyDescent="0.25">
      <c r="A180" t="str">
        <f>"50988"</f>
        <v>50988</v>
      </c>
      <c r="B180" t="s">
        <v>179</v>
      </c>
      <c r="C180" t="str">
        <f>"19.7"</f>
        <v>19.7</v>
      </c>
      <c r="D180" t="s">
        <v>1454</v>
      </c>
    </row>
    <row r="181" spans="1:4" x14ac:dyDescent="0.25">
      <c r="A181" t="str">
        <f>"8816"</f>
        <v>8816</v>
      </c>
      <c r="B181" t="s">
        <v>180</v>
      </c>
      <c r="C181" t="str">
        <f>"19.1"</f>
        <v>19.1</v>
      </c>
      <c r="D181" t="s">
        <v>1454</v>
      </c>
    </row>
    <row r="182" spans="1:4" x14ac:dyDescent="0.25">
      <c r="A182" t="str">
        <f>"24376"</f>
        <v>24376</v>
      </c>
      <c r="B182" t="s">
        <v>181</v>
      </c>
      <c r="C182" t="str">
        <f>"18.7"</f>
        <v>18.7</v>
      </c>
      <c r="D182" t="s">
        <v>1454</v>
      </c>
    </row>
    <row r="183" spans="1:4" x14ac:dyDescent="0.25">
      <c r="A183" t="str">
        <f>"10215"</f>
        <v>10215</v>
      </c>
      <c r="B183" t="s">
        <v>182</v>
      </c>
      <c r="C183" t="str">
        <f>"13.4"</f>
        <v>13.4</v>
      </c>
      <c r="D183" t="s">
        <v>1454</v>
      </c>
    </row>
    <row r="184" spans="1:4" x14ac:dyDescent="0.25">
      <c r="A184" t="str">
        <f>"17924"</f>
        <v>17924</v>
      </c>
      <c r="B184" t="s">
        <v>183</v>
      </c>
      <c r="C184" t="str">
        <f>"13.7"</f>
        <v>13.7</v>
      </c>
      <c r="D184" t="s">
        <v>1454</v>
      </c>
    </row>
    <row r="185" spans="1:4" x14ac:dyDescent="0.25">
      <c r="A185" t="str">
        <f>"8825"</f>
        <v>8825</v>
      </c>
      <c r="B185" t="s">
        <v>184</v>
      </c>
      <c r="C185" t="str">
        <f>"9.1"</f>
        <v>9.1</v>
      </c>
      <c r="D185" t="s">
        <v>1454</v>
      </c>
    </row>
    <row r="186" spans="1:4" x14ac:dyDescent="0.25">
      <c r="A186" t="str">
        <f>"10711"</f>
        <v>10711</v>
      </c>
      <c r="B186" t="s">
        <v>185</v>
      </c>
      <c r="C186" t="str">
        <f>"4.6"</f>
        <v>4.6</v>
      </c>
      <c r="D186" t="s">
        <v>1454</v>
      </c>
    </row>
    <row r="187" spans="1:4" x14ac:dyDescent="0.25">
      <c r="A187" t="str">
        <f>"67914"</f>
        <v>67914</v>
      </c>
      <c r="B187" t="s">
        <v>186</v>
      </c>
      <c r="C187" t="str">
        <f>"10.2"</f>
        <v>10.2</v>
      </c>
      <c r="D187" t="s">
        <v>1454</v>
      </c>
    </row>
    <row r="188" spans="1:4" x14ac:dyDescent="0.25">
      <c r="A188" t="str">
        <f>"15719"</f>
        <v>15719</v>
      </c>
      <c r="B188" t="s">
        <v>187</v>
      </c>
      <c r="C188" t="str">
        <f>"16.3"</f>
        <v>16.3</v>
      </c>
      <c r="D188" t="s">
        <v>1454</v>
      </c>
    </row>
    <row r="189" spans="1:4" x14ac:dyDescent="0.25">
      <c r="A189" t="str">
        <f>"65549"</f>
        <v>65549</v>
      </c>
      <c r="B189" t="s">
        <v>188</v>
      </c>
      <c r="C189" t="str">
        <f>"22.7"</f>
        <v>22.7</v>
      </c>
      <c r="D189" t="s">
        <v>1454</v>
      </c>
    </row>
    <row r="190" spans="1:4" x14ac:dyDescent="0.25">
      <c r="A190" t="str">
        <f>"78033"</f>
        <v>78033</v>
      </c>
      <c r="B190" t="s">
        <v>189</v>
      </c>
      <c r="C190" t="str">
        <f>"8.6"</f>
        <v>8.6</v>
      </c>
      <c r="D190" t="s">
        <v>1454</v>
      </c>
    </row>
    <row r="191" spans="1:4" x14ac:dyDescent="0.25">
      <c r="A191" t="str">
        <f>"8828"</f>
        <v>8828</v>
      </c>
      <c r="B191" t="s">
        <v>190</v>
      </c>
      <c r="C191" t="str">
        <f>"7.8"</f>
        <v>7.8</v>
      </c>
      <c r="D191" t="s">
        <v>1454</v>
      </c>
    </row>
    <row r="192" spans="1:4" x14ac:dyDescent="0.25">
      <c r="A192" t="str">
        <f>"10769"</f>
        <v>10769</v>
      </c>
      <c r="B192" t="s">
        <v>191</v>
      </c>
      <c r="C192" t="str">
        <f>"6.1"</f>
        <v>6.1</v>
      </c>
      <c r="D192" t="s">
        <v>1454</v>
      </c>
    </row>
    <row r="193" spans="1:4" x14ac:dyDescent="0.25">
      <c r="A193" t="str">
        <f>"43079"</f>
        <v>43079</v>
      </c>
      <c r="B193" t="s">
        <v>192</v>
      </c>
      <c r="C193" t="str">
        <f>"14.3"</f>
        <v>14.3</v>
      </c>
      <c r="D193" t="s">
        <v>1454</v>
      </c>
    </row>
    <row r="194" spans="1:4" x14ac:dyDescent="0.25">
      <c r="A194" t="str">
        <f>"9447"</f>
        <v>9447</v>
      </c>
      <c r="B194" t="s">
        <v>193</v>
      </c>
      <c r="C194" t="str">
        <f>"13.3"</f>
        <v>13.3</v>
      </c>
      <c r="D194" t="s">
        <v>1454</v>
      </c>
    </row>
    <row r="195" spans="1:4" x14ac:dyDescent="0.25">
      <c r="A195" t="str">
        <f>"72283"</f>
        <v>72283</v>
      </c>
      <c r="B195" t="s">
        <v>194</v>
      </c>
      <c r="C195" t="str">
        <f>"19.7"</f>
        <v>19.7</v>
      </c>
      <c r="D195" t="s">
        <v>1454</v>
      </c>
    </row>
    <row r="196" spans="1:4" x14ac:dyDescent="0.25">
      <c r="A196" t="str">
        <f>"48773"</f>
        <v>48773</v>
      </c>
      <c r="B196" t="s">
        <v>195</v>
      </c>
      <c r="C196" t="str">
        <f>"28.5"</f>
        <v>28.5</v>
      </c>
      <c r="D196" t="s">
        <v>1454</v>
      </c>
    </row>
    <row r="197" spans="1:4" x14ac:dyDescent="0.25">
      <c r="A197" t="str">
        <f>"70264"</f>
        <v>70264</v>
      </c>
      <c r="B197" t="s">
        <v>196</v>
      </c>
      <c r="C197" t="str">
        <f>"17.4"</f>
        <v>17.4</v>
      </c>
      <c r="D197" t="s">
        <v>1454</v>
      </c>
    </row>
    <row r="198" spans="1:4" x14ac:dyDescent="0.25">
      <c r="A198" t="str">
        <f>"73705"</f>
        <v>73705</v>
      </c>
      <c r="B198" t="s">
        <v>197</v>
      </c>
      <c r="C198" t="str">
        <f>"10.5"</f>
        <v>10.5</v>
      </c>
      <c r="D198" t="s">
        <v>1454</v>
      </c>
    </row>
    <row r="199" spans="1:4" x14ac:dyDescent="0.25">
      <c r="A199" t="str">
        <f>"17679"</f>
        <v>17679</v>
      </c>
      <c r="B199" t="s">
        <v>198</v>
      </c>
      <c r="C199" t="str">
        <f>"16.5"</f>
        <v>16.5</v>
      </c>
      <c r="D199" t="s">
        <v>1454</v>
      </c>
    </row>
    <row r="200" spans="1:4" x14ac:dyDescent="0.25">
      <c r="A200" t="str">
        <f>"10371"</f>
        <v>10371</v>
      </c>
      <c r="B200" t="s">
        <v>199</v>
      </c>
      <c r="C200" t="str">
        <f>"20.6"</f>
        <v>20.6</v>
      </c>
      <c r="D200" t="s">
        <v>1454</v>
      </c>
    </row>
    <row r="201" spans="1:4" x14ac:dyDescent="0.25">
      <c r="A201" t="str">
        <f>"1003675"</f>
        <v>1003675</v>
      </c>
      <c r="B201" t="s">
        <v>200</v>
      </c>
      <c r="C201" t="str">
        <f>"12.3"</f>
        <v>12.3</v>
      </c>
      <c r="D201" t="s">
        <v>1454</v>
      </c>
    </row>
    <row r="202" spans="1:4" x14ac:dyDescent="0.25">
      <c r="A202" t="str">
        <f>"36604"</f>
        <v>36604</v>
      </c>
      <c r="B202" t="s">
        <v>201</v>
      </c>
      <c r="C202" t="str">
        <f>"17.0"</f>
        <v>17.0</v>
      </c>
      <c r="D202" t="s">
        <v>1454</v>
      </c>
    </row>
    <row r="203" spans="1:4" x14ac:dyDescent="0.25">
      <c r="A203" t="str">
        <f>"8837"</f>
        <v>8837</v>
      </c>
      <c r="B203" t="s">
        <v>202</v>
      </c>
      <c r="C203" t="str">
        <f>"21.4"</f>
        <v>21.4</v>
      </c>
      <c r="D203" t="s">
        <v>1454</v>
      </c>
    </row>
    <row r="204" spans="1:4" x14ac:dyDescent="0.25">
      <c r="A204" t="str">
        <f>"8839"</f>
        <v>8839</v>
      </c>
      <c r="B204" t="s">
        <v>203</v>
      </c>
      <c r="C204" t="str">
        <f>"17.8"</f>
        <v>17.8</v>
      </c>
      <c r="D204" t="s">
        <v>1454</v>
      </c>
    </row>
    <row r="205" spans="1:4" x14ac:dyDescent="0.25">
      <c r="A205" t="str">
        <f>"50364"</f>
        <v>50364</v>
      </c>
      <c r="B205" t="s">
        <v>204</v>
      </c>
      <c r="C205" t="str">
        <f>"11.7"</f>
        <v>11.7</v>
      </c>
      <c r="D205" t="s">
        <v>1454</v>
      </c>
    </row>
    <row r="206" spans="1:4" x14ac:dyDescent="0.25">
      <c r="A206" t="str">
        <f>"37769"</f>
        <v>37769</v>
      </c>
      <c r="B206" t="s">
        <v>205</v>
      </c>
      <c r="C206" t="str">
        <f>"11.1"</f>
        <v>11.1</v>
      </c>
      <c r="D206" t="s">
        <v>1454</v>
      </c>
    </row>
    <row r="207" spans="1:4" x14ac:dyDescent="0.25">
      <c r="A207" t="str">
        <f>"39731"</f>
        <v>39731</v>
      </c>
      <c r="B207" t="s">
        <v>206</v>
      </c>
      <c r="C207" t="str">
        <f>"34.4"</f>
        <v>34.4</v>
      </c>
      <c r="D207" t="s">
        <v>1454</v>
      </c>
    </row>
    <row r="208" spans="1:4" x14ac:dyDescent="0.25">
      <c r="A208" t="str">
        <f>"67681"</f>
        <v>67681</v>
      </c>
      <c r="B208" t="s">
        <v>207</v>
      </c>
      <c r="C208" t="str">
        <f>"16.5"</f>
        <v>16.5</v>
      </c>
      <c r="D208" t="s">
        <v>1454</v>
      </c>
    </row>
    <row r="209" spans="1:4" x14ac:dyDescent="0.25">
      <c r="A209" t="str">
        <f>"16101"</f>
        <v>16101</v>
      </c>
      <c r="B209" t="s">
        <v>208</v>
      </c>
      <c r="C209" t="str">
        <f>"10.7"</f>
        <v>10.7</v>
      </c>
      <c r="D209" t="s">
        <v>1454</v>
      </c>
    </row>
    <row r="210" spans="1:4" x14ac:dyDescent="0.25">
      <c r="A210" t="str">
        <f>"76336"</f>
        <v>76336</v>
      </c>
      <c r="B210" t="s">
        <v>209</v>
      </c>
      <c r="C210" t="str">
        <f>"2.9"</f>
        <v>2.9</v>
      </c>
      <c r="D210" t="s">
        <v>1454</v>
      </c>
    </row>
    <row r="211" spans="1:4" x14ac:dyDescent="0.25">
      <c r="A211" t="str">
        <f>"1004377"</f>
        <v>1004377</v>
      </c>
      <c r="B211" t="s">
        <v>210</v>
      </c>
      <c r="C211" t="str">
        <f>"35.0"</f>
        <v>35.0</v>
      </c>
      <c r="D211" t="s">
        <v>1454</v>
      </c>
    </row>
    <row r="212" spans="1:4" x14ac:dyDescent="0.25">
      <c r="A212" t="str">
        <f>"1004536"</f>
        <v>1004536</v>
      </c>
      <c r="B212" t="s">
        <v>211</v>
      </c>
      <c r="C212" t="str">
        <f>"30.2"</f>
        <v>30.2</v>
      </c>
      <c r="D212" t="s">
        <v>1454</v>
      </c>
    </row>
    <row r="213" spans="1:4" x14ac:dyDescent="0.25">
      <c r="A213" t="str">
        <f>"65736"</f>
        <v>65736</v>
      </c>
      <c r="B213" t="s">
        <v>212</v>
      </c>
      <c r="C213" t="str">
        <f>"2.2"</f>
        <v>2.2</v>
      </c>
      <c r="D213" t="s">
        <v>1454</v>
      </c>
    </row>
    <row r="214" spans="1:4" x14ac:dyDescent="0.25">
      <c r="A214" t="str">
        <f>"38218"</f>
        <v>38218</v>
      </c>
      <c r="B214" t="s">
        <v>213</v>
      </c>
      <c r="C214" t="str">
        <f>"17.6"</f>
        <v>17.6</v>
      </c>
      <c r="D214" t="s">
        <v>1454</v>
      </c>
    </row>
    <row r="215" spans="1:4" x14ac:dyDescent="0.25">
      <c r="A215" t="str">
        <f>"73954"</f>
        <v>73954</v>
      </c>
      <c r="B215" t="s">
        <v>214</v>
      </c>
      <c r="C215" t="str">
        <f>"15.5"</f>
        <v>15.5</v>
      </c>
      <c r="D215" t="s">
        <v>1454</v>
      </c>
    </row>
    <row r="216" spans="1:4" x14ac:dyDescent="0.25">
      <c r="A216" t="str">
        <f>"8843"</f>
        <v>8843</v>
      </c>
      <c r="B216" t="s">
        <v>215</v>
      </c>
      <c r="C216" t="str">
        <f>"30.4"</f>
        <v>30.4</v>
      </c>
      <c r="D216" t="s">
        <v>1454</v>
      </c>
    </row>
    <row r="217" spans="1:4" x14ac:dyDescent="0.25">
      <c r="A217" t="str">
        <f>"8401"</f>
        <v>8401</v>
      </c>
      <c r="B217" t="s">
        <v>216</v>
      </c>
      <c r="C217" t="str">
        <f>"15.5"</f>
        <v>15.5</v>
      </c>
      <c r="D217" t="s">
        <v>1454</v>
      </c>
    </row>
    <row r="218" spans="1:4" x14ac:dyDescent="0.25">
      <c r="A218" t="str">
        <f>"81335"</f>
        <v>81335</v>
      </c>
      <c r="B218" t="s">
        <v>217</v>
      </c>
      <c r="C218" t="str">
        <f>"18.4"</f>
        <v>18.4</v>
      </c>
      <c r="D218" t="s">
        <v>1454</v>
      </c>
    </row>
    <row r="219" spans="1:4" x14ac:dyDescent="0.25">
      <c r="A219" t="str">
        <f>"10449"</f>
        <v>10449</v>
      </c>
      <c r="B219" t="s">
        <v>218</v>
      </c>
      <c r="C219" t="str">
        <f>"23.8"</f>
        <v>23.8</v>
      </c>
      <c r="D219" t="s">
        <v>1454</v>
      </c>
    </row>
    <row r="220" spans="1:4" x14ac:dyDescent="0.25">
      <c r="A220" t="str">
        <f>"8849"</f>
        <v>8849</v>
      </c>
      <c r="B220" t="s">
        <v>219</v>
      </c>
      <c r="C220" t="str">
        <f>"13.5"</f>
        <v>13.5</v>
      </c>
      <c r="D220" t="s">
        <v>1454</v>
      </c>
    </row>
    <row r="221" spans="1:4" x14ac:dyDescent="0.25">
      <c r="A221" t="str">
        <f>"1007672"</f>
        <v>1007672</v>
      </c>
      <c r="B221" t="s">
        <v>220</v>
      </c>
      <c r="C221" t="str">
        <f>"25.0"</f>
        <v>25.0</v>
      </c>
      <c r="D221" t="s">
        <v>1454</v>
      </c>
    </row>
    <row r="222" spans="1:4" x14ac:dyDescent="0.25">
      <c r="A222" t="str">
        <f>"20953"</f>
        <v>20953</v>
      </c>
      <c r="B222" t="s">
        <v>221</v>
      </c>
      <c r="C222" t="str">
        <f>"8.1"</f>
        <v>8.1</v>
      </c>
      <c r="D222" t="s">
        <v>1454</v>
      </c>
    </row>
    <row r="223" spans="1:4" x14ac:dyDescent="0.25">
      <c r="A223" t="str">
        <f>"75232"</f>
        <v>75232</v>
      </c>
      <c r="B223" t="s">
        <v>222</v>
      </c>
      <c r="C223" t="str">
        <f>"9.1"</f>
        <v>9.1</v>
      </c>
      <c r="D223" t="s">
        <v>1454</v>
      </c>
    </row>
    <row r="224" spans="1:4" x14ac:dyDescent="0.25">
      <c r="A224" t="str">
        <f>"75957"</f>
        <v>75957</v>
      </c>
      <c r="B224" t="s">
        <v>223</v>
      </c>
      <c r="C224" t="str">
        <f>"19.7"</f>
        <v>19.7</v>
      </c>
      <c r="D224" t="s">
        <v>1454</v>
      </c>
    </row>
    <row r="225" spans="1:4" x14ac:dyDescent="0.25">
      <c r="A225" t="str">
        <f>"26964"</f>
        <v>26964</v>
      </c>
      <c r="B225" t="s">
        <v>224</v>
      </c>
      <c r="C225" t="str">
        <f>"11.7"</f>
        <v>11.7</v>
      </c>
      <c r="D225" t="s">
        <v>1454</v>
      </c>
    </row>
    <row r="226" spans="1:4" x14ac:dyDescent="0.25">
      <c r="A226" t="str">
        <f>"16671"</f>
        <v>16671</v>
      </c>
      <c r="B226" t="s">
        <v>225</v>
      </c>
      <c r="C226" t="str">
        <f>"26.8"</f>
        <v>26.8</v>
      </c>
      <c r="D226" t="s">
        <v>1454</v>
      </c>
    </row>
    <row r="227" spans="1:4" x14ac:dyDescent="0.25">
      <c r="A227" t="str">
        <f>"8857"</f>
        <v>8857</v>
      </c>
      <c r="B227" t="s">
        <v>226</v>
      </c>
      <c r="C227" t="str">
        <f>"21.7"</f>
        <v>21.7</v>
      </c>
      <c r="D227" t="s">
        <v>1454</v>
      </c>
    </row>
    <row r="228" spans="1:4" x14ac:dyDescent="0.25">
      <c r="A228" t="str">
        <f>"47092"</f>
        <v>47092</v>
      </c>
      <c r="B228" t="s">
        <v>227</v>
      </c>
      <c r="C228" t="str">
        <f>"5.7"</f>
        <v>5.7</v>
      </c>
      <c r="D228" t="s">
        <v>1454</v>
      </c>
    </row>
    <row r="229" spans="1:4" x14ac:dyDescent="0.25">
      <c r="A229" t="str">
        <f>"10751"</f>
        <v>10751</v>
      </c>
      <c r="B229" t="s">
        <v>228</v>
      </c>
      <c r="C229" t="str">
        <f>"15.8"</f>
        <v>15.8</v>
      </c>
      <c r="D229" t="s">
        <v>1454</v>
      </c>
    </row>
    <row r="230" spans="1:4" x14ac:dyDescent="0.25">
      <c r="A230" t="str">
        <f>"68680"</f>
        <v>68680</v>
      </c>
      <c r="B230" t="s">
        <v>229</v>
      </c>
      <c r="C230" t="str">
        <f>"24.4"</f>
        <v>24.4</v>
      </c>
      <c r="D230" t="s">
        <v>1454</v>
      </c>
    </row>
    <row r="231" spans="1:4" x14ac:dyDescent="0.25">
      <c r="A231" t="str">
        <f>"8870"</f>
        <v>8870</v>
      </c>
      <c r="B231" t="s">
        <v>230</v>
      </c>
      <c r="C231" t="str">
        <f>"32.6"</f>
        <v>32.6</v>
      </c>
      <c r="D231" t="s">
        <v>1454</v>
      </c>
    </row>
    <row r="232" spans="1:4" x14ac:dyDescent="0.25">
      <c r="A232" t="str">
        <f>"8871"</f>
        <v>8871</v>
      </c>
      <c r="B232" t="s">
        <v>231</v>
      </c>
      <c r="C232" t="str">
        <f>"24.2"</f>
        <v>24.2</v>
      </c>
      <c r="D232" t="s">
        <v>1454</v>
      </c>
    </row>
    <row r="233" spans="1:4" x14ac:dyDescent="0.25">
      <c r="A233" t="str">
        <f>"78118"</f>
        <v>78118</v>
      </c>
      <c r="B233" t="s">
        <v>232</v>
      </c>
      <c r="C233" t="str">
        <f>"25.8"</f>
        <v>25.8</v>
      </c>
      <c r="D233" t="s">
        <v>1454</v>
      </c>
    </row>
    <row r="234" spans="1:4" x14ac:dyDescent="0.25">
      <c r="A234" t="str">
        <f>"1000025"</f>
        <v>1000025</v>
      </c>
      <c r="B234" t="s">
        <v>233</v>
      </c>
      <c r="C234" t="str">
        <f>"12.0"</f>
        <v>12.0</v>
      </c>
      <c r="D234" t="s">
        <v>1454</v>
      </c>
    </row>
    <row r="235" spans="1:4" x14ac:dyDescent="0.25">
      <c r="A235" t="str">
        <f>"48450"</f>
        <v>48450</v>
      </c>
      <c r="B235" t="s">
        <v>234</v>
      </c>
      <c r="C235" t="str">
        <f>"8.3"</f>
        <v>8.3</v>
      </c>
      <c r="D235" t="s">
        <v>1454</v>
      </c>
    </row>
    <row r="236" spans="1:4" x14ac:dyDescent="0.25">
      <c r="A236" t="str">
        <f>"75234"</f>
        <v>75234</v>
      </c>
      <c r="B236" t="s">
        <v>235</v>
      </c>
      <c r="C236" t="str">
        <f>"2.5"</f>
        <v>2.5</v>
      </c>
      <c r="D236" t="s">
        <v>1454</v>
      </c>
    </row>
    <row r="237" spans="1:4" x14ac:dyDescent="0.25">
      <c r="A237" t="str">
        <f>"1008942"</f>
        <v>1008942</v>
      </c>
      <c r="B237" t="s">
        <v>236</v>
      </c>
      <c r="C237" t="str">
        <f>"16.5"</f>
        <v>16.5</v>
      </c>
      <c r="D237" t="s">
        <v>1454</v>
      </c>
    </row>
    <row r="238" spans="1:4" x14ac:dyDescent="0.25">
      <c r="A238" t="str">
        <f>"77162"</f>
        <v>77162</v>
      </c>
      <c r="B238" t="s">
        <v>237</v>
      </c>
      <c r="C238" t="str">
        <f>"18.9"</f>
        <v>18.9</v>
      </c>
      <c r="D238" t="s">
        <v>1454</v>
      </c>
    </row>
    <row r="239" spans="1:4" x14ac:dyDescent="0.25">
      <c r="A239" t="str">
        <f>"8875"</f>
        <v>8875</v>
      </c>
      <c r="B239" t="s">
        <v>238</v>
      </c>
      <c r="C239" t="str">
        <f>"16.4"</f>
        <v>16.4</v>
      </c>
      <c r="D239" t="s">
        <v>1454</v>
      </c>
    </row>
    <row r="240" spans="1:4" x14ac:dyDescent="0.25">
      <c r="A240" t="str">
        <f>"8880"</f>
        <v>8880</v>
      </c>
      <c r="B240" t="s">
        <v>239</v>
      </c>
      <c r="C240" t="str">
        <f>"22.1"</f>
        <v>22.1</v>
      </c>
      <c r="D240" t="s">
        <v>1454</v>
      </c>
    </row>
    <row r="241" spans="1:4" x14ac:dyDescent="0.25">
      <c r="A241" t="str">
        <f>"46088"</f>
        <v>46088</v>
      </c>
      <c r="B241" t="s">
        <v>240</v>
      </c>
      <c r="C241" t="str">
        <f>"18.7"</f>
        <v>18.7</v>
      </c>
      <c r="D241" t="s">
        <v>1454</v>
      </c>
    </row>
    <row r="242" spans="1:4" x14ac:dyDescent="0.25">
      <c r="A242" t="str">
        <f>"46235"</f>
        <v>46235</v>
      </c>
      <c r="B242" t="s">
        <v>241</v>
      </c>
      <c r="C242" t="str">
        <f>"8.6"</f>
        <v>8.6</v>
      </c>
      <c r="D242" t="s">
        <v>1454</v>
      </c>
    </row>
    <row r="243" spans="1:4" x14ac:dyDescent="0.25">
      <c r="A243" t="str">
        <f>"72796"</f>
        <v>72796</v>
      </c>
      <c r="B243" t="s">
        <v>242</v>
      </c>
      <c r="C243" t="str">
        <f>"7.3"</f>
        <v>7.3</v>
      </c>
      <c r="D243" t="s">
        <v>1454</v>
      </c>
    </row>
    <row r="244" spans="1:4" x14ac:dyDescent="0.25">
      <c r="A244" t="str">
        <f>"8885"</f>
        <v>8885</v>
      </c>
      <c r="B244" t="s">
        <v>243</v>
      </c>
      <c r="C244" t="str">
        <f>"7.6"</f>
        <v>7.6</v>
      </c>
      <c r="D244" t="s">
        <v>1454</v>
      </c>
    </row>
    <row r="245" spans="1:4" x14ac:dyDescent="0.25">
      <c r="A245" t="str">
        <f>"8887"</f>
        <v>8887</v>
      </c>
      <c r="B245" t="s">
        <v>244</v>
      </c>
      <c r="C245" t="str">
        <f>"24.9"</f>
        <v>24.9</v>
      </c>
      <c r="D245" t="s">
        <v>1454</v>
      </c>
    </row>
    <row r="246" spans="1:4" x14ac:dyDescent="0.25">
      <c r="A246" t="str">
        <f>"50770"</f>
        <v>50770</v>
      </c>
      <c r="B246" t="s">
        <v>245</v>
      </c>
      <c r="C246" t="str">
        <f>"22.1"</f>
        <v>22.1</v>
      </c>
      <c r="D246" t="s">
        <v>1454</v>
      </c>
    </row>
    <row r="247" spans="1:4" x14ac:dyDescent="0.25">
      <c r="A247" t="str">
        <f>"10222"</f>
        <v>10222</v>
      </c>
      <c r="B247" t="s">
        <v>246</v>
      </c>
      <c r="C247" t="str">
        <f>"24.1"</f>
        <v>24.1</v>
      </c>
      <c r="D247" t="s">
        <v>1454</v>
      </c>
    </row>
    <row r="248" spans="1:4" x14ac:dyDescent="0.25">
      <c r="A248" t="str">
        <f>"48430"</f>
        <v>48430</v>
      </c>
      <c r="B248" t="s">
        <v>247</v>
      </c>
      <c r="C248" t="str">
        <f>"14.6"</f>
        <v>14.6</v>
      </c>
      <c r="D248" t="s">
        <v>1454</v>
      </c>
    </row>
    <row r="249" spans="1:4" x14ac:dyDescent="0.25">
      <c r="A249" t="str">
        <f>"999"</f>
        <v>999</v>
      </c>
      <c r="B249" t="s">
        <v>248</v>
      </c>
      <c r="C249" t="str">
        <f>"26.0000"</f>
        <v>26.0000</v>
      </c>
      <c r="D249" t="s">
        <v>1454</v>
      </c>
    </row>
    <row r="250" spans="1:4" x14ac:dyDescent="0.25">
      <c r="A250" t="str">
        <f>"8893"</f>
        <v>8893</v>
      </c>
      <c r="B250" t="s">
        <v>249</v>
      </c>
      <c r="C250" t="str">
        <f>"22.6"</f>
        <v>22.6</v>
      </c>
      <c r="D250" t="s">
        <v>1454</v>
      </c>
    </row>
    <row r="251" spans="1:4" x14ac:dyDescent="0.25">
      <c r="A251" t="str">
        <f>"49375"</f>
        <v>49375</v>
      </c>
      <c r="B251" t="s">
        <v>250</v>
      </c>
      <c r="C251" t="str">
        <f>"18.6000"</f>
        <v>18.6000</v>
      </c>
      <c r="D251" t="s">
        <v>1454</v>
      </c>
    </row>
    <row r="252" spans="1:4" x14ac:dyDescent="0.25">
      <c r="A252" t="str">
        <f>"75453"</f>
        <v>75453</v>
      </c>
      <c r="B252" t="s">
        <v>251</v>
      </c>
      <c r="C252" t="str">
        <f>"17.5"</f>
        <v>17.5</v>
      </c>
      <c r="D252" t="s">
        <v>1454</v>
      </c>
    </row>
    <row r="253" spans="1:4" x14ac:dyDescent="0.25">
      <c r="A253" t="str">
        <f>"8897"</f>
        <v>8897</v>
      </c>
      <c r="B253" t="s">
        <v>252</v>
      </c>
      <c r="C253" t="str">
        <f>"22.2"</f>
        <v>22.2</v>
      </c>
      <c r="D253" t="s">
        <v>1454</v>
      </c>
    </row>
    <row r="254" spans="1:4" x14ac:dyDescent="0.25">
      <c r="A254" t="str">
        <f>"1000575"</f>
        <v>1000575</v>
      </c>
      <c r="B254" t="s">
        <v>253</v>
      </c>
      <c r="C254" t="str">
        <f>"34.4"</f>
        <v>34.4</v>
      </c>
      <c r="D254" t="s">
        <v>1454</v>
      </c>
    </row>
    <row r="255" spans="1:4" x14ac:dyDescent="0.25">
      <c r="A255" t="str">
        <f>"8898"</f>
        <v>8898</v>
      </c>
      <c r="B255" t="s">
        <v>254</v>
      </c>
      <c r="C255" t="str">
        <f>"28.3"</f>
        <v>28.3</v>
      </c>
      <c r="D255" t="s">
        <v>1454</v>
      </c>
    </row>
    <row r="256" spans="1:4" x14ac:dyDescent="0.25">
      <c r="A256" t="str">
        <f>"1005180"</f>
        <v>1005180</v>
      </c>
      <c r="B256" t="s">
        <v>255</v>
      </c>
      <c r="C256" t="str">
        <f>"15.5"</f>
        <v>15.5</v>
      </c>
      <c r="D256" t="s">
        <v>1454</v>
      </c>
    </row>
    <row r="257" spans="1:4" x14ac:dyDescent="0.25">
      <c r="A257" t="str">
        <f>"8491"</f>
        <v>8491</v>
      </c>
      <c r="B257" t="s">
        <v>256</v>
      </c>
      <c r="C257" t="str">
        <f>"15.4"</f>
        <v>15.4</v>
      </c>
      <c r="D257" t="s">
        <v>1454</v>
      </c>
    </row>
    <row r="258" spans="1:4" x14ac:dyDescent="0.25">
      <c r="A258" t="str">
        <f>"8900"</f>
        <v>8900</v>
      </c>
      <c r="B258" t="s">
        <v>257</v>
      </c>
      <c r="C258" t="str">
        <f>"11.0"</f>
        <v>11.0</v>
      </c>
      <c r="D258" t="s">
        <v>1454</v>
      </c>
    </row>
    <row r="259" spans="1:4" x14ac:dyDescent="0.25">
      <c r="A259" t="str">
        <f>"10531"</f>
        <v>10531</v>
      </c>
      <c r="B259" t="s">
        <v>258</v>
      </c>
      <c r="C259" t="str">
        <f>"25.5"</f>
        <v>25.5</v>
      </c>
      <c r="D259" t="s">
        <v>1454</v>
      </c>
    </row>
    <row r="260" spans="1:4" x14ac:dyDescent="0.25">
      <c r="A260" t="str">
        <f>"8905"</f>
        <v>8905</v>
      </c>
      <c r="B260" t="s">
        <v>259</v>
      </c>
      <c r="C260" t="str">
        <f>"15.7"</f>
        <v>15.7</v>
      </c>
      <c r="D260" t="s">
        <v>1454</v>
      </c>
    </row>
    <row r="261" spans="1:4" x14ac:dyDescent="0.25">
      <c r="A261" t="str">
        <f>"1005914"</f>
        <v>1005914</v>
      </c>
      <c r="B261" t="s">
        <v>260</v>
      </c>
      <c r="C261" t="s">
        <v>1</v>
      </c>
      <c r="D261" t="s">
        <v>1454</v>
      </c>
    </row>
    <row r="262" spans="1:4" x14ac:dyDescent="0.25">
      <c r="A262" t="str">
        <f>"32498"</f>
        <v>32498</v>
      </c>
      <c r="B262" t="s">
        <v>261</v>
      </c>
      <c r="C262" t="str">
        <f>"6.4"</f>
        <v>6.4</v>
      </c>
      <c r="D262" t="s">
        <v>1454</v>
      </c>
    </row>
    <row r="263" spans="1:4" x14ac:dyDescent="0.25">
      <c r="A263" t="str">
        <f>"8909"</f>
        <v>8909</v>
      </c>
      <c r="B263" t="s">
        <v>262</v>
      </c>
      <c r="C263" t="str">
        <f>"16.4"</f>
        <v>16.4</v>
      </c>
      <c r="D263" t="s">
        <v>1454</v>
      </c>
    </row>
    <row r="264" spans="1:4" x14ac:dyDescent="0.25">
      <c r="A264" t="str">
        <f>"8910"</f>
        <v>8910</v>
      </c>
      <c r="B264" t="s">
        <v>263</v>
      </c>
      <c r="C264" t="str">
        <f>"23.5"</f>
        <v>23.5</v>
      </c>
      <c r="D264" t="s">
        <v>1454</v>
      </c>
    </row>
    <row r="265" spans="1:4" x14ac:dyDescent="0.25">
      <c r="A265" t="str">
        <f>"1008930"</f>
        <v>1008930</v>
      </c>
      <c r="B265" t="s">
        <v>264</v>
      </c>
      <c r="C265" t="str">
        <f>"24.7"</f>
        <v>24.7</v>
      </c>
      <c r="D265" t="s">
        <v>1454</v>
      </c>
    </row>
    <row r="266" spans="1:4" x14ac:dyDescent="0.25">
      <c r="A266" t="str">
        <f>"12218"</f>
        <v>12218</v>
      </c>
      <c r="B266" t="s">
        <v>265</v>
      </c>
      <c r="C266" t="str">
        <f>"15.0"</f>
        <v>15.0</v>
      </c>
      <c r="D266" t="s">
        <v>1454</v>
      </c>
    </row>
    <row r="267" spans="1:4" x14ac:dyDescent="0.25">
      <c r="A267" t="str">
        <f>"38156"</f>
        <v>38156</v>
      </c>
      <c r="B267" t="s">
        <v>266</v>
      </c>
      <c r="C267" t="str">
        <f>"+4.2"</f>
        <v>+4.2</v>
      </c>
      <c r="D267" t="s">
        <v>1454</v>
      </c>
    </row>
    <row r="268" spans="1:4" x14ac:dyDescent="0.25">
      <c r="A268" t="str">
        <f>"41548"</f>
        <v>41548</v>
      </c>
      <c r="B268" t="s">
        <v>267</v>
      </c>
      <c r="C268" t="str">
        <f>"14.4"</f>
        <v>14.4</v>
      </c>
      <c r="D268" t="s">
        <v>1454</v>
      </c>
    </row>
    <row r="269" spans="1:4" x14ac:dyDescent="0.25">
      <c r="A269" t="str">
        <f>"10193"</f>
        <v>10193</v>
      </c>
      <c r="B269" t="s">
        <v>268</v>
      </c>
      <c r="C269" t="str">
        <f>"16.6"</f>
        <v>16.6</v>
      </c>
      <c r="D269" t="s">
        <v>1454</v>
      </c>
    </row>
    <row r="270" spans="1:4" x14ac:dyDescent="0.25">
      <c r="A270" t="str">
        <f>"8911"</f>
        <v>8911</v>
      </c>
      <c r="B270" t="s">
        <v>269</v>
      </c>
      <c r="C270" t="str">
        <f>"17.9"</f>
        <v>17.9</v>
      </c>
      <c r="D270" t="s">
        <v>1454</v>
      </c>
    </row>
    <row r="271" spans="1:4" x14ac:dyDescent="0.25">
      <c r="A271" t="str">
        <f>"1008475"</f>
        <v>1008475</v>
      </c>
      <c r="B271" t="s">
        <v>270</v>
      </c>
      <c r="C271" t="str">
        <f>"17.0"</f>
        <v>17.0</v>
      </c>
      <c r="D271" t="s">
        <v>1454</v>
      </c>
    </row>
    <row r="272" spans="1:4" x14ac:dyDescent="0.25">
      <c r="A272" t="str">
        <f>"8912"</f>
        <v>8912</v>
      </c>
      <c r="B272" t="s">
        <v>271</v>
      </c>
      <c r="C272" t="str">
        <f>"23.1"</f>
        <v>23.1</v>
      </c>
      <c r="D272" t="s">
        <v>1454</v>
      </c>
    </row>
    <row r="273" spans="1:4" x14ac:dyDescent="0.25">
      <c r="A273" t="str">
        <f>"48276"</f>
        <v>48276</v>
      </c>
      <c r="B273" t="s">
        <v>272</v>
      </c>
      <c r="C273" t="str">
        <f>"8.1"</f>
        <v>8.1</v>
      </c>
      <c r="D273" t="s">
        <v>1454</v>
      </c>
    </row>
    <row r="274" spans="1:4" x14ac:dyDescent="0.25">
      <c r="A274" t="str">
        <f>"71875"</f>
        <v>71875</v>
      </c>
      <c r="B274" t="s">
        <v>273</v>
      </c>
      <c r="C274" t="str">
        <f>"10.2"</f>
        <v>10.2</v>
      </c>
      <c r="D274" t="s">
        <v>1454</v>
      </c>
    </row>
    <row r="275" spans="1:4" x14ac:dyDescent="0.25">
      <c r="A275" t="str">
        <f>"67803"</f>
        <v>67803</v>
      </c>
      <c r="B275" t="s">
        <v>274</v>
      </c>
      <c r="C275" t="str">
        <f>"18.2"</f>
        <v>18.2</v>
      </c>
      <c r="D275" t="s">
        <v>1454</v>
      </c>
    </row>
    <row r="276" spans="1:4" x14ac:dyDescent="0.25">
      <c r="A276" t="str">
        <f>"8921"</f>
        <v>8921</v>
      </c>
      <c r="B276" t="s">
        <v>275</v>
      </c>
      <c r="C276" t="str">
        <f>"14.7"</f>
        <v>14.7</v>
      </c>
      <c r="D276" t="s">
        <v>1454</v>
      </c>
    </row>
    <row r="277" spans="1:4" x14ac:dyDescent="0.25">
      <c r="A277" t="str">
        <f>"80791"</f>
        <v>80791</v>
      </c>
      <c r="B277" t="s">
        <v>276</v>
      </c>
      <c r="C277" t="str">
        <f>"14.1"</f>
        <v>14.1</v>
      </c>
      <c r="D277" t="s">
        <v>1454</v>
      </c>
    </row>
    <row r="278" spans="1:4" x14ac:dyDescent="0.25">
      <c r="A278" t="str">
        <f>"1011444"</f>
        <v>1011444</v>
      </c>
      <c r="B278" t="s">
        <v>277</v>
      </c>
      <c r="C278" t="str">
        <f>"27.3"</f>
        <v>27.3</v>
      </c>
      <c r="D278" t="s">
        <v>1454</v>
      </c>
    </row>
    <row r="279" spans="1:4" x14ac:dyDescent="0.25">
      <c r="A279" t="str">
        <f>"12761"</f>
        <v>12761</v>
      </c>
      <c r="B279" t="s">
        <v>278</v>
      </c>
      <c r="C279" t="str">
        <f>"11.4"</f>
        <v>11.4</v>
      </c>
      <c r="D279" t="s">
        <v>1454</v>
      </c>
    </row>
    <row r="280" spans="1:4" x14ac:dyDescent="0.25">
      <c r="A280" t="str">
        <f>"67382"</f>
        <v>67382</v>
      </c>
      <c r="B280" t="s">
        <v>279</v>
      </c>
      <c r="C280" t="str">
        <f>"17.6"</f>
        <v>17.6</v>
      </c>
      <c r="D280" t="s">
        <v>1454</v>
      </c>
    </row>
    <row r="281" spans="1:4" x14ac:dyDescent="0.25">
      <c r="A281" t="str">
        <f>"80792"</f>
        <v>80792</v>
      </c>
      <c r="B281" t="s">
        <v>280</v>
      </c>
      <c r="C281" t="str">
        <f>"10.2"</f>
        <v>10.2</v>
      </c>
      <c r="D281" t="s">
        <v>1454</v>
      </c>
    </row>
    <row r="282" spans="1:4" x14ac:dyDescent="0.25">
      <c r="A282" t="str">
        <f>"77870"</f>
        <v>77870</v>
      </c>
      <c r="B282" t="s">
        <v>281</v>
      </c>
      <c r="C282" t="s">
        <v>1</v>
      </c>
      <c r="D282" t="s">
        <v>1454</v>
      </c>
    </row>
    <row r="283" spans="1:4" x14ac:dyDescent="0.25">
      <c r="A283" t="str">
        <f>"48015"</f>
        <v>48015</v>
      </c>
      <c r="B283" t="s">
        <v>282</v>
      </c>
      <c r="C283" t="str">
        <f>"24.9"</f>
        <v>24.9</v>
      </c>
      <c r="D283" t="s">
        <v>1454</v>
      </c>
    </row>
    <row r="284" spans="1:4" x14ac:dyDescent="0.25">
      <c r="A284" t="str">
        <f>"8933"</f>
        <v>8933</v>
      </c>
      <c r="B284" t="s">
        <v>283</v>
      </c>
      <c r="C284" t="str">
        <f>"24.7"</f>
        <v>24.7</v>
      </c>
      <c r="D284" t="s">
        <v>1454</v>
      </c>
    </row>
    <row r="285" spans="1:4" x14ac:dyDescent="0.25">
      <c r="A285" t="str">
        <f>"77076"</f>
        <v>77076</v>
      </c>
      <c r="B285" t="s">
        <v>284</v>
      </c>
      <c r="C285" t="str">
        <f>"6.0"</f>
        <v>6.0</v>
      </c>
      <c r="D285" t="s">
        <v>1454</v>
      </c>
    </row>
    <row r="286" spans="1:4" x14ac:dyDescent="0.25">
      <c r="A286" t="str">
        <f>"79546"</f>
        <v>79546</v>
      </c>
      <c r="B286" t="s">
        <v>285</v>
      </c>
      <c r="C286" t="str">
        <f>"31.9"</f>
        <v>31.9</v>
      </c>
      <c r="D286" t="s">
        <v>1454</v>
      </c>
    </row>
    <row r="287" spans="1:4" x14ac:dyDescent="0.25">
      <c r="A287" t="str">
        <f>"41297"</f>
        <v>41297</v>
      </c>
      <c r="B287" t="s">
        <v>286</v>
      </c>
      <c r="C287" t="str">
        <f>"16.3"</f>
        <v>16.3</v>
      </c>
      <c r="D287" t="s">
        <v>1454</v>
      </c>
    </row>
    <row r="288" spans="1:4" x14ac:dyDescent="0.25">
      <c r="A288" t="str">
        <f>"8937"</f>
        <v>8937</v>
      </c>
      <c r="B288" t="s">
        <v>287</v>
      </c>
      <c r="C288" t="str">
        <f>"28.8"</f>
        <v>28.8</v>
      </c>
      <c r="D288" t="s">
        <v>1454</v>
      </c>
    </row>
    <row r="289" spans="1:4" x14ac:dyDescent="0.25">
      <c r="A289" t="str">
        <f>"80076"</f>
        <v>80076</v>
      </c>
      <c r="B289" t="s">
        <v>288</v>
      </c>
      <c r="C289" t="str">
        <f>"16.1"</f>
        <v>16.1</v>
      </c>
      <c r="D289" t="s">
        <v>1454</v>
      </c>
    </row>
    <row r="290" spans="1:4" x14ac:dyDescent="0.25">
      <c r="A290" t="str">
        <f>"10450"</f>
        <v>10450</v>
      </c>
      <c r="B290" t="s">
        <v>289</v>
      </c>
      <c r="C290" t="str">
        <f>"22.8"</f>
        <v>22.8</v>
      </c>
      <c r="D290" t="s">
        <v>1454</v>
      </c>
    </row>
    <row r="291" spans="1:4" x14ac:dyDescent="0.25">
      <c r="A291" t="str">
        <f>"10674"</f>
        <v>10674</v>
      </c>
      <c r="B291" t="s">
        <v>290</v>
      </c>
      <c r="C291" t="str">
        <f>"19.6"</f>
        <v>19.6</v>
      </c>
      <c r="D291" t="s">
        <v>1454</v>
      </c>
    </row>
    <row r="292" spans="1:4" x14ac:dyDescent="0.25">
      <c r="A292" t="str">
        <f>"10698"</f>
        <v>10698</v>
      </c>
      <c r="B292" t="s">
        <v>291</v>
      </c>
      <c r="C292" t="str">
        <f>"10.3"</f>
        <v>10.3</v>
      </c>
      <c r="D292" t="s">
        <v>1454</v>
      </c>
    </row>
    <row r="293" spans="1:4" x14ac:dyDescent="0.25">
      <c r="A293" t="str">
        <f>"1002027"</f>
        <v>1002027</v>
      </c>
      <c r="B293" t="s">
        <v>292</v>
      </c>
      <c r="C293" t="str">
        <f>"18.4"</f>
        <v>18.4</v>
      </c>
      <c r="D293" t="s">
        <v>1454</v>
      </c>
    </row>
    <row r="294" spans="1:4" x14ac:dyDescent="0.25">
      <c r="A294" t="str">
        <f>"50574"</f>
        <v>50574</v>
      </c>
      <c r="B294" t="s">
        <v>293</v>
      </c>
      <c r="C294" t="str">
        <f>"15.0"</f>
        <v>15.0</v>
      </c>
      <c r="D294" t="s">
        <v>1454</v>
      </c>
    </row>
    <row r="295" spans="1:4" x14ac:dyDescent="0.25">
      <c r="A295" t="str">
        <f>"70904"</f>
        <v>70904</v>
      </c>
      <c r="B295" t="s">
        <v>294</v>
      </c>
      <c r="C295" t="str">
        <f>"21.3"</f>
        <v>21.3</v>
      </c>
      <c r="D295" t="s">
        <v>1454</v>
      </c>
    </row>
    <row r="296" spans="1:4" x14ac:dyDescent="0.25">
      <c r="A296" t="str">
        <f>"8946"</f>
        <v>8946</v>
      </c>
      <c r="B296" t="s">
        <v>295</v>
      </c>
      <c r="C296" t="str">
        <f>"20.5"</f>
        <v>20.5</v>
      </c>
      <c r="D296" t="s">
        <v>1454</v>
      </c>
    </row>
    <row r="297" spans="1:4" x14ac:dyDescent="0.25">
      <c r="A297" t="str">
        <f>"44516"</f>
        <v>44516</v>
      </c>
      <c r="B297" t="s">
        <v>296</v>
      </c>
      <c r="C297" t="str">
        <f>"3.4"</f>
        <v>3.4</v>
      </c>
      <c r="D297" t="s">
        <v>1454</v>
      </c>
    </row>
    <row r="298" spans="1:4" x14ac:dyDescent="0.25">
      <c r="A298" t="str">
        <f>"8951"</f>
        <v>8951</v>
      </c>
      <c r="B298" t="s">
        <v>297</v>
      </c>
      <c r="C298" t="str">
        <f>"17.4"</f>
        <v>17.4</v>
      </c>
      <c r="D298" t="s">
        <v>1454</v>
      </c>
    </row>
    <row r="299" spans="1:4" x14ac:dyDescent="0.25">
      <c r="A299" t="str">
        <f>"10444"</f>
        <v>10444</v>
      </c>
      <c r="B299" t="s">
        <v>298</v>
      </c>
      <c r="C299" t="str">
        <f>"13.0"</f>
        <v>13.0</v>
      </c>
      <c r="D299" t="s">
        <v>1454</v>
      </c>
    </row>
    <row r="300" spans="1:4" x14ac:dyDescent="0.25">
      <c r="A300" t="str">
        <f>"44123"</f>
        <v>44123</v>
      </c>
      <c r="B300" t="s">
        <v>299</v>
      </c>
      <c r="C300" t="str">
        <f>"14.9"</f>
        <v>14.9</v>
      </c>
      <c r="D300" t="s">
        <v>1454</v>
      </c>
    </row>
    <row r="301" spans="1:4" x14ac:dyDescent="0.25">
      <c r="A301" t="str">
        <f>"44124"</f>
        <v>44124</v>
      </c>
      <c r="B301" t="s">
        <v>300</v>
      </c>
      <c r="C301" t="str">
        <f>"5.1"</f>
        <v>5.1</v>
      </c>
      <c r="D301" t="s">
        <v>1454</v>
      </c>
    </row>
    <row r="302" spans="1:4" x14ac:dyDescent="0.25">
      <c r="A302" t="str">
        <f>"66156"</f>
        <v>66156</v>
      </c>
      <c r="B302" t="s">
        <v>301</v>
      </c>
      <c r="C302" t="str">
        <f>"24.2"</f>
        <v>24.2</v>
      </c>
      <c r="D302" t="s">
        <v>1454</v>
      </c>
    </row>
    <row r="303" spans="1:4" x14ac:dyDescent="0.25">
      <c r="A303" t="str">
        <f>"78117"</f>
        <v>78117</v>
      </c>
      <c r="B303" t="s">
        <v>302</v>
      </c>
      <c r="C303" t="str">
        <f>"7.4"</f>
        <v>7.4</v>
      </c>
      <c r="D303" t="s">
        <v>1454</v>
      </c>
    </row>
    <row r="304" spans="1:4" x14ac:dyDescent="0.25">
      <c r="A304" t="str">
        <f>"41750"</f>
        <v>41750</v>
      </c>
      <c r="B304" t="s">
        <v>303</v>
      </c>
      <c r="C304" t="str">
        <f>"10.1"</f>
        <v>10.1</v>
      </c>
      <c r="D304" t="s">
        <v>1454</v>
      </c>
    </row>
    <row r="305" spans="1:4" x14ac:dyDescent="0.25">
      <c r="A305" t="str">
        <f>"8451"</f>
        <v>8451</v>
      </c>
      <c r="B305" t="s">
        <v>304</v>
      </c>
      <c r="C305" t="str">
        <f>"10.5"</f>
        <v>10.5</v>
      </c>
      <c r="D305" t="s">
        <v>1454</v>
      </c>
    </row>
    <row r="306" spans="1:4" x14ac:dyDescent="0.25">
      <c r="A306" t="str">
        <f>"1000961"</f>
        <v>1000961</v>
      </c>
      <c r="B306" t="s">
        <v>305</v>
      </c>
      <c r="C306" t="str">
        <f>"12.4"</f>
        <v>12.4</v>
      </c>
      <c r="D306" t="s">
        <v>1454</v>
      </c>
    </row>
    <row r="307" spans="1:4" x14ac:dyDescent="0.25">
      <c r="A307" t="str">
        <f>"8954"</f>
        <v>8954</v>
      </c>
      <c r="B307" t="s">
        <v>306</v>
      </c>
      <c r="C307" t="str">
        <f>"13.9"</f>
        <v>13.9</v>
      </c>
      <c r="D307" t="s">
        <v>1454</v>
      </c>
    </row>
    <row r="308" spans="1:4" x14ac:dyDescent="0.25">
      <c r="A308" t="str">
        <f>"76467"</f>
        <v>76467</v>
      </c>
      <c r="B308" t="s">
        <v>307</v>
      </c>
      <c r="C308" t="str">
        <f>"5.1"</f>
        <v>5.1</v>
      </c>
      <c r="D308" t="s">
        <v>1454</v>
      </c>
    </row>
    <row r="309" spans="1:4" x14ac:dyDescent="0.25">
      <c r="A309" t="str">
        <f>"21767"</f>
        <v>21767</v>
      </c>
      <c r="B309" t="s">
        <v>308</v>
      </c>
      <c r="C309" t="str">
        <f>"29.3"</f>
        <v>29.3</v>
      </c>
      <c r="D309" t="s">
        <v>1454</v>
      </c>
    </row>
    <row r="310" spans="1:4" x14ac:dyDescent="0.25">
      <c r="A310" t="str">
        <f>"10736"</f>
        <v>10736</v>
      </c>
      <c r="B310" t="s">
        <v>309</v>
      </c>
      <c r="C310" t="str">
        <f>"18.4"</f>
        <v>18.4</v>
      </c>
      <c r="D310" t="s">
        <v>1454</v>
      </c>
    </row>
    <row r="311" spans="1:4" x14ac:dyDescent="0.25">
      <c r="A311" t="str">
        <f>"67161"</f>
        <v>67161</v>
      </c>
      <c r="B311" t="s">
        <v>310</v>
      </c>
      <c r="C311" t="str">
        <f>"14.0"</f>
        <v>14.0</v>
      </c>
      <c r="D311" t="s">
        <v>1454</v>
      </c>
    </row>
    <row r="312" spans="1:4" x14ac:dyDescent="0.25">
      <c r="A312" t="str">
        <f>"75896"</f>
        <v>75896</v>
      </c>
      <c r="B312" t="s">
        <v>311</v>
      </c>
      <c r="C312" t="str">
        <f>"18.5"</f>
        <v>18.5</v>
      </c>
      <c r="D312" t="s">
        <v>1454</v>
      </c>
    </row>
    <row r="313" spans="1:4" x14ac:dyDescent="0.25">
      <c r="A313" t="str">
        <f>"8964"</f>
        <v>8964</v>
      </c>
      <c r="B313" t="s">
        <v>312</v>
      </c>
      <c r="C313" t="str">
        <f>"16.8"</f>
        <v>16.8</v>
      </c>
      <c r="D313" t="s">
        <v>1454</v>
      </c>
    </row>
    <row r="314" spans="1:4" x14ac:dyDescent="0.25">
      <c r="A314" t="str">
        <f>"3715"</f>
        <v>3715</v>
      </c>
      <c r="B314" t="s">
        <v>313</v>
      </c>
      <c r="C314" t="str">
        <f>"20.6"</f>
        <v>20.6</v>
      </c>
      <c r="D314" t="s">
        <v>1454</v>
      </c>
    </row>
    <row r="315" spans="1:4" x14ac:dyDescent="0.25">
      <c r="A315" t="str">
        <f>"8966"</f>
        <v>8966</v>
      </c>
      <c r="B315" t="s">
        <v>314</v>
      </c>
      <c r="C315" t="str">
        <f>"20.0"</f>
        <v>20.0</v>
      </c>
      <c r="D315" t="s">
        <v>1454</v>
      </c>
    </row>
    <row r="316" spans="1:4" x14ac:dyDescent="0.25">
      <c r="A316" t="str">
        <f>"10759"</f>
        <v>10759</v>
      </c>
      <c r="B316" t="s">
        <v>315</v>
      </c>
      <c r="C316" t="str">
        <f>"15.7"</f>
        <v>15.7</v>
      </c>
      <c r="D316" t="s">
        <v>1454</v>
      </c>
    </row>
    <row r="317" spans="1:4" x14ac:dyDescent="0.25">
      <c r="A317" t="str">
        <f>"10526"</f>
        <v>10526</v>
      </c>
      <c r="B317" t="s">
        <v>316</v>
      </c>
      <c r="C317" t="str">
        <f>"30.0"</f>
        <v>30.0</v>
      </c>
      <c r="D317" t="s">
        <v>1454</v>
      </c>
    </row>
    <row r="318" spans="1:4" x14ac:dyDescent="0.25">
      <c r="A318" t="str">
        <f>"64288"</f>
        <v>64288</v>
      </c>
      <c r="B318" t="s">
        <v>317</v>
      </c>
      <c r="C318" t="str">
        <f>"11.9"</f>
        <v>11.9</v>
      </c>
      <c r="D318" t="s">
        <v>1454</v>
      </c>
    </row>
    <row r="319" spans="1:4" x14ac:dyDescent="0.25">
      <c r="A319" t="str">
        <f>"8968"</f>
        <v>8968</v>
      </c>
      <c r="B319" t="s">
        <v>318</v>
      </c>
      <c r="C319" t="str">
        <f>"16.9"</f>
        <v>16.9</v>
      </c>
      <c r="D319" t="s">
        <v>1454</v>
      </c>
    </row>
    <row r="320" spans="1:4" x14ac:dyDescent="0.25">
      <c r="A320" t="str">
        <f>"1006964"</f>
        <v>1006964</v>
      </c>
      <c r="B320" t="s">
        <v>319</v>
      </c>
      <c r="C320" t="s">
        <v>1</v>
      </c>
      <c r="D320" t="s">
        <v>1454</v>
      </c>
    </row>
    <row r="321" spans="1:4" x14ac:dyDescent="0.25">
      <c r="A321" t="str">
        <f>"8971"</f>
        <v>8971</v>
      </c>
      <c r="B321" t="s">
        <v>320</v>
      </c>
      <c r="C321" t="str">
        <f>"17.7"</f>
        <v>17.7</v>
      </c>
      <c r="D321" t="s">
        <v>1454</v>
      </c>
    </row>
    <row r="322" spans="1:4" x14ac:dyDescent="0.25">
      <c r="A322" t="str">
        <f>"76441"</f>
        <v>76441</v>
      </c>
      <c r="B322" t="s">
        <v>321</v>
      </c>
      <c r="C322" t="str">
        <f>"17.3"</f>
        <v>17.3</v>
      </c>
      <c r="D322" t="s">
        <v>1454</v>
      </c>
    </row>
    <row r="323" spans="1:4" x14ac:dyDescent="0.25">
      <c r="A323" t="str">
        <f>"1011447"</f>
        <v>1011447</v>
      </c>
      <c r="B323" t="s">
        <v>322</v>
      </c>
      <c r="C323" t="s">
        <v>1</v>
      </c>
      <c r="D323" t="s">
        <v>1454</v>
      </c>
    </row>
    <row r="324" spans="1:4" x14ac:dyDescent="0.25">
      <c r="A324" t="str">
        <f>"50821"</f>
        <v>50821</v>
      </c>
      <c r="B324" t="s">
        <v>323</v>
      </c>
      <c r="C324" t="str">
        <f>"19.7"</f>
        <v>19.7</v>
      </c>
      <c r="D324" t="s">
        <v>1454</v>
      </c>
    </row>
    <row r="325" spans="1:4" x14ac:dyDescent="0.25">
      <c r="A325" t="str">
        <f>"49426"</f>
        <v>49426</v>
      </c>
      <c r="B325" t="s">
        <v>324</v>
      </c>
      <c r="C325" t="str">
        <f>"16.9"</f>
        <v>16.9</v>
      </c>
      <c r="D325" t="s">
        <v>1454</v>
      </c>
    </row>
    <row r="326" spans="1:4" x14ac:dyDescent="0.25">
      <c r="A326" t="str">
        <f>"77169"</f>
        <v>77169</v>
      </c>
      <c r="B326" t="s">
        <v>325</v>
      </c>
      <c r="C326" t="str">
        <f>"18.8"</f>
        <v>18.8</v>
      </c>
      <c r="D326" t="s">
        <v>1454</v>
      </c>
    </row>
    <row r="327" spans="1:4" x14ac:dyDescent="0.25">
      <c r="A327" t="str">
        <f>"32534"</f>
        <v>32534</v>
      </c>
      <c r="B327" t="s">
        <v>326</v>
      </c>
      <c r="C327" t="str">
        <f>"4.5"</f>
        <v>4.5</v>
      </c>
      <c r="D327" t="s">
        <v>1454</v>
      </c>
    </row>
    <row r="328" spans="1:4" x14ac:dyDescent="0.25">
      <c r="A328" t="str">
        <f>"1010506"</f>
        <v>1010506</v>
      </c>
      <c r="B328" t="s">
        <v>327</v>
      </c>
      <c r="C328" t="str">
        <f>"18.0"</f>
        <v>18.0</v>
      </c>
      <c r="D328" t="s">
        <v>1454</v>
      </c>
    </row>
    <row r="329" spans="1:4" x14ac:dyDescent="0.25">
      <c r="A329" t="str">
        <f>"27051"</f>
        <v>27051</v>
      </c>
      <c r="B329" t="s">
        <v>328</v>
      </c>
      <c r="C329" t="str">
        <f>"11.6"</f>
        <v>11.6</v>
      </c>
      <c r="D329" t="s">
        <v>1454</v>
      </c>
    </row>
    <row r="330" spans="1:4" x14ac:dyDescent="0.25">
      <c r="A330" t="str">
        <f>"1002352"</f>
        <v>1002352</v>
      </c>
      <c r="B330" t="s">
        <v>329</v>
      </c>
      <c r="C330" t="str">
        <f>"21.3"</f>
        <v>21.3</v>
      </c>
      <c r="D330" t="s">
        <v>1454</v>
      </c>
    </row>
    <row r="331" spans="1:4" x14ac:dyDescent="0.25">
      <c r="A331" t="str">
        <f>"54443"</f>
        <v>54443</v>
      </c>
      <c r="B331" t="s">
        <v>330</v>
      </c>
      <c r="C331" t="str">
        <f>"21.5"</f>
        <v>21.5</v>
      </c>
      <c r="D331" t="s">
        <v>1454</v>
      </c>
    </row>
    <row r="332" spans="1:4" x14ac:dyDescent="0.25">
      <c r="A332" t="str">
        <f>"8982"</f>
        <v>8982</v>
      </c>
      <c r="B332" t="s">
        <v>331</v>
      </c>
      <c r="C332" t="str">
        <f>"26.2"</f>
        <v>26.2</v>
      </c>
      <c r="D332" t="s">
        <v>1454</v>
      </c>
    </row>
    <row r="333" spans="1:4" x14ac:dyDescent="0.25">
      <c r="A333" t="str">
        <f>"8989"</f>
        <v>8989</v>
      </c>
      <c r="B333" t="s">
        <v>332</v>
      </c>
      <c r="C333" t="str">
        <f>"16.4"</f>
        <v>16.4</v>
      </c>
      <c r="D333" t="s">
        <v>1454</v>
      </c>
    </row>
    <row r="334" spans="1:4" x14ac:dyDescent="0.25">
      <c r="A334" t="str">
        <f>"8990"</f>
        <v>8990</v>
      </c>
      <c r="B334" t="s">
        <v>333</v>
      </c>
      <c r="C334" t="str">
        <f>"7.9"</f>
        <v>7.9</v>
      </c>
      <c r="D334" t="s">
        <v>1454</v>
      </c>
    </row>
    <row r="335" spans="1:4" x14ac:dyDescent="0.25">
      <c r="A335" t="str">
        <f>"1003897"</f>
        <v>1003897</v>
      </c>
      <c r="B335" t="s">
        <v>334</v>
      </c>
      <c r="C335" t="str">
        <f>"17.5"</f>
        <v>17.5</v>
      </c>
      <c r="D335" t="s">
        <v>1454</v>
      </c>
    </row>
    <row r="336" spans="1:4" x14ac:dyDescent="0.25">
      <c r="A336" t="str">
        <f>"1002985"</f>
        <v>1002985</v>
      </c>
      <c r="B336" t="s">
        <v>335</v>
      </c>
      <c r="C336" t="str">
        <f>"25.0"</f>
        <v>25.0</v>
      </c>
      <c r="D336" t="s">
        <v>1454</v>
      </c>
    </row>
    <row r="337" spans="1:4" x14ac:dyDescent="0.25">
      <c r="A337" t="str">
        <f>"8991"</f>
        <v>8991</v>
      </c>
      <c r="B337" t="s">
        <v>336</v>
      </c>
      <c r="C337" t="str">
        <f>"15.5"</f>
        <v>15.5</v>
      </c>
      <c r="D337" t="s">
        <v>1454</v>
      </c>
    </row>
    <row r="338" spans="1:4" x14ac:dyDescent="0.25">
      <c r="A338" t="str">
        <f>"23046"</f>
        <v>23046</v>
      </c>
      <c r="B338" t="s">
        <v>337</v>
      </c>
      <c r="C338" t="str">
        <f>"24.8"</f>
        <v>24.8</v>
      </c>
      <c r="D338" t="s">
        <v>1454</v>
      </c>
    </row>
    <row r="339" spans="1:4" x14ac:dyDescent="0.25">
      <c r="A339" t="str">
        <f>"8997"</f>
        <v>8997</v>
      </c>
      <c r="B339" t="s">
        <v>338</v>
      </c>
      <c r="C339" t="str">
        <f>"23.4"</f>
        <v>23.4</v>
      </c>
      <c r="D339" t="s">
        <v>1454</v>
      </c>
    </row>
    <row r="340" spans="1:4" x14ac:dyDescent="0.25">
      <c r="A340" t="str">
        <f>"80737"</f>
        <v>80737</v>
      </c>
      <c r="B340" t="s">
        <v>339</v>
      </c>
      <c r="C340" t="str">
        <f>"23.1"</f>
        <v>23.1</v>
      </c>
      <c r="D340" t="s">
        <v>1454</v>
      </c>
    </row>
    <row r="341" spans="1:4" x14ac:dyDescent="0.25">
      <c r="A341" t="str">
        <f>"1002732"</f>
        <v>1002732</v>
      </c>
      <c r="B341" t="s">
        <v>340</v>
      </c>
      <c r="C341" t="str">
        <f>"8.6"</f>
        <v>8.6</v>
      </c>
      <c r="D341" t="s">
        <v>1454</v>
      </c>
    </row>
    <row r="342" spans="1:4" x14ac:dyDescent="0.25">
      <c r="A342" t="str">
        <f>"1000763"</f>
        <v>1000763</v>
      </c>
      <c r="B342" t="s">
        <v>341</v>
      </c>
      <c r="C342" t="str">
        <f>"17.8"</f>
        <v>17.8</v>
      </c>
      <c r="D342" t="s">
        <v>1454</v>
      </c>
    </row>
    <row r="343" spans="1:4" x14ac:dyDescent="0.25">
      <c r="A343" t="str">
        <f>"9000"</f>
        <v>9000</v>
      </c>
      <c r="B343" t="s">
        <v>342</v>
      </c>
      <c r="C343" t="str">
        <f>"18.1"</f>
        <v>18.1</v>
      </c>
      <c r="D343" t="s">
        <v>1454</v>
      </c>
    </row>
    <row r="344" spans="1:4" x14ac:dyDescent="0.25">
      <c r="A344" t="str">
        <f>"9002"</f>
        <v>9002</v>
      </c>
      <c r="B344" t="s">
        <v>343</v>
      </c>
      <c r="C344" t="str">
        <f>"24.9"</f>
        <v>24.9</v>
      </c>
      <c r="D344" t="s">
        <v>1454</v>
      </c>
    </row>
    <row r="345" spans="1:4" x14ac:dyDescent="0.25">
      <c r="A345" t="str">
        <f>"45083"</f>
        <v>45083</v>
      </c>
      <c r="B345" t="s">
        <v>344</v>
      </c>
      <c r="C345" t="str">
        <f>"15.2"</f>
        <v>15.2</v>
      </c>
      <c r="D345" t="s">
        <v>1454</v>
      </c>
    </row>
    <row r="346" spans="1:4" x14ac:dyDescent="0.25">
      <c r="A346" t="str">
        <f>"35372"</f>
        <v>35372</v>
      </c>
      <c r="B346" t="s">
        <v>345</v>
      </c>
      <c r="C346" t="str">
        <f>"15.6"</f>
        <v>15.6</v>
      </c>
      <c r="D346" t="s">
        <v>1454</v>
      </c>
    </row>
    <row r="347" spans="1:4" x14ac:dyDescent="0.25">
      <c r="A347" t="str">
        <f>"9008"</f>
        <v>9008</v>
      </c>
      <c r="B347" t="s">
        <v>346</v>
      </c>
      <c r="C347" t="str">
        <f>"14.7"</f>
        <v>14.7</v>
      </c>
      <c r="D347" t="s">
        <v>1454</v>
      </c>
    </row>
    <row r="348" spans="1:4" x14ac:dyDescent="0.25">
      <c r="A348" t="str">
        <f>"67599"</f>
        <v>67599</v>
      </c>
      <c r="B348" t="s">
        <v>347</v>
      </c>
      <c r="C348" t="str">
        <f>"17.9000"</f>
        <v>17.9000</v>
      </c>
      <c r="D348" t="s">
        <v>1454</v>
      </c>
    </row>
    <row r="349" spans="1:4" x14ac:dyDescent="0.25">
      <c r="A349" t="str">
        <f>"80187"</f>
        <v>80187</v>
      </c>
      <c r="B349" t="s">
        <v>348</v>
      </c>
      <c r="C349" t="str">
        <f>"12.9"</f>
        <v>12.9</v>
      </c>
      <c r="D349" t="s">
        <v>1454</v>
      </c>
    </row>
    <row r="350" spans="1:4" x14ac:dyDescent="0.25">
      <c r="A350" t="str">
        <f>"75547"</f>
        <v>75547</v>
      </c>
      <c r="B350" t="s">
        <v>349</v>
      </c>
      <c r="C350" t="str">
        <f>"7.7"</f>
        <v>7.7</v>
      </c>
      <c r="D350" t="s">
        <v>1454</v>
      </c>
    </row>
    <row r="351" spans="1:4" x14ac:dyDescent="0.25">
      <c r="A351" t="str">
        <f>"9010"</f>
        <v>9010</v>
      </c>
      <c r="B351" t="s">
        <v>350</v>
      </c>
      <c r="C351" t="str">
        <f>"19.1"</f>
        <v>19.1</v>
      </c>
      <c r="D351" t="s">
        <v>1454</v>
      </c>
    </row>
    <row r="352" spans="1:4" x14ac:dyDescent="0.25">
      <c r="A352" t="str">
        <f>"8572"</f>
        <v>8572</v>
      </c>
      <c r="B352" t="s">
        <v>351</v>
      </c>
      <c r="C352" t="str">
        <f>"9.0"</f>
        <v>9.0</v>
      </c>
      <c r="D352" t="s">
        <v>1454</v>
      </c>
    </row>
    <row r="353" spans="1:4" x14ac:dyDescent="0.25">
      <c r="A353" t="str">
        <f>"36584"</f>
        <v>36584</v>
      </c>
      <c r="B353" t="s">
        <v>352</v>
      </c>
      <c r="C353" t="str">
        <f>"+1.4"</f>
        <v>+1.4</v>
      </c>
      <c r="D353" t="s">
        <v>1454</v>
      </c>
    </row>
    <row r="354" spans="1:4" x14ac:dyDescent="0.25">
      <c r="A354" t="str">
        <f>"73265"</f>
        <v>73265</v>
      </c>
      <c r="B354" t="s">
        <v>353</v>
      </c>
      <c r="C354" t="str">
        <f>"25.2"</f>
        <v>25.2</v>
      </c>
      <c r="D354" t="s">
        <v>1454</v>
      </c>
    </row>
    <row r="355" spans="1:4" x14ac:dyDescent="0.25">
      <c r="A355" t="str">
        <f>"10205"</f>
        <v>10205</v>
      </c>
      <c r="B355" t="s">
        <v>354</v>
      </c>
      <c r="C355" t="str">
        <f>"16.0"</f>
        <v>16.0</v>
      </c>
      <c r="D355" t="s">
        <v>1454</v>
      </c>
    </row>
    <row r="356" spans="1:4" x14ac:dyDescent="0.25">
      <c r="A356" t="str">
        <f>"50485"</f>
        <v>50485</v>
      </c>
      <c r="B356" t="s">
        <v>355</v>
      </c>
      <c r="C356" t="str">
        <f>"14.3"</f>
        <v>14.3</v>
      </c>
      <c r="D356" t="s">
        <v>1454</v>
      </c>
    </row>
    <row r="357" spans="1:4" x14ac:dyDescent="0.25">
      <c r="A357" t="str">
        <f>"9016"</f>
        <v>9016</v>
      </c>
      <c r="B357" t="s">
        <v>356</v>
      </c>
      <c r="C357" t="str">
        <f>"13.9"</f>
        <v>13.9</v>
      </c>
      <c r="D357" t="s">
        <v>1454</v>
      </c>
    </row>
    <row r="358" spans="1:4" x14ac:dyDescent="0.25">
      <c r="A358" t="str">
        <f>"1004786"</f>
        <v>1004786</v>
      </c>
      <c r="B358" t="s">
        <v>357</v>
      </c>
      <c r="C358" t="str">
        <f>"21.0"</f>
        <v>21.0</v>
      </c>
      <c r="D358" t="s">
        <v>1454</v>
      </c>
    </row>
    <row r="359" spans="1:4" x14ac:dyDescent="0.25">
      <c r="A359" t="str">
        <f>"41394"</f>
        <v>41394</v>
      </c>
      <c r="B359" t="s">
        <v>358</v>
      </c>
      <c r="C359" t="str">
        <f>"10.0"</f>
        <v>10.0</v>
      </c>
      <c r="D359" t="s">
        <v>1454</v>
      </c>
    </row>
    <row r="360" spans="1:4" x14ac:dyDescent="0.25">
      <c r="A360" t="str">
        <f>"1004785"</f>
        <v>1004785</v>
      </c>
      <c r="B360" t="s">
        <v>359</v>
      </c>
      <c r="C360" t="str">
        <f>"14.5"</f>
        <v>14.5</v>
      </c>
      <c r="D360" t="s">
        <v>1454</v>
      </c>
    </row>
    <row r="361" spans="1:4" x14ac:dyDescent="0.25">
      <c r="A361" t="str">
        <f>"1000103"</f>
        <v>1000103</v>
      </c>
      <c r="B361" t="s">
        <v>360</v>
      </c>
      <c r="C361" t="str">
        <f>"13.7"</f>
        <v>13.7</v>
      </c>
      <c r="D361" t="s">
        <v>1454</v>
      </c>
    </row>
    <row r="362" spans="1:4" x14ac:dyDescent="0.25">
      <c r="A362" t="str">
        <f>"9022"</f>
        <v>9022</v>
      </c>
      <c r="B362" t="s">
        <v>361</v>
      </c>
      <c r="C362" t="str">
        <f>"13.2"</f>
        <v>13.2</v>
      </c>
      <c r="D362" t="s">
        <v>1454</v>
      </c>
    </row>
    <row r="363" spans="1:4" x14ac:dyDescent="0.25">
      <c r="A363" t="str">
        <f>"10363"</f>
        <v>10363</v>
      </c>
      <c r="B363" t="s">
        <v>362</v>
      </c>
      <c r="C363" t="str">
        <f>"14.3"</f>
        <v>14.3</v>
      </c>
      <c r="D363" t="s">
        <v>1454</v>
      </c>
    </row>
    <row r="364" spans="1:4" x14ac:dyDescent="0.25">
      <c r="A364" t="str">
        <f>"70756"</f>
        <v>70756</v>
      </c>
      <c r="B364" t="s">
        <v>363</v>
      </c>
      <c r="C364" t="str">
        <f>"14.9"</f>
        <v>14.9</v>
      </c>
      <c r="D364" t="s">
        <v>1454</v>
      </c>
    </row>
    <row r="365" spans="1:4" x14ac:dyDescent="0.25">
      <c r="A365" t="str">
        <f>"43212"</f>
        <v>43212</v>
      </c>
      <c r="B365" t="s">
        <v>364</v>
      </c>
      <c r="C365" t="str">
        <f>"22.7"</f>
        <v>22.7</v>
      </c>
      <c r="D365" t="s">
        <v>1454</v>
      </c>
    </row>
    <row r="366" spans="1:4" x14ac:dyDescent="0.25">
      <c r="A366" t="str">
        <f>"38036"</f>
        <v>38036</v>
      </c>
      <c r="B366" t="s">
        <v>365</v>
      </c>
      <c r="C366" t="str">
        <f>"11.1"</f>
        <v>11.1</v>
      </c>
      <c r="D366" t="s">
        <v>1454</v>
      </c>
    </row>
    <row r="367" spans="1:4" x14ac:dyDescent="0.25">
      <c r="A367" t="str">
        <f>"66405"</f>
        <v>66405</v>
      </c>
      <c r="B367" t="s">
        <v>366</v>
      </c>
      <c r="C367" t="str">
        <f>"9.9"</f>
        <v>9.9</v>
      </c>
      <c r="D367" t="s">
        <v>1454</v>
      </c>
    </row>
    <row r="368" spans="1:4" x14ac:dyDescent="0.25">
      <c r="A368" t="str">
        <f>"9029"</f>
        <v>9029</v>
      </c>
      <c r="B368" t="s">
        <v>367</v>
      </c>
      <c r="C368" t="str">
        <f>"8.8"</f>
        <v>8.8</v>
      </c>
      <c r="D368" t="s">
        <v>1454</v>
      </c>
    </row>
    <row r="369" spans="1:4" x14ac:dyDescent="0.25">
      <c r="A369" t="str">
        <f>"81342"</f>
        <v>81342</v>
      </c>
      <c r="B369" t="s">
        <v>368</v>
      </c>
      <c r="C369" t="str">
        <f>"19.8"</f>
        <v>19.8</v>
      </c>
      <c r="D369" t="s">
        <v>1454</v>
      </c>
    </row>
    <row r="370" spans="1:4" x14ac:dyDescent="0.25">
      <c r="A370" t="str">
        <f>"10691"</f>
        <v>10691</v>
      </c>
      <c r="B370" t="s">
        <v>369</v>
      </c>
      <c r="C370" t="str">
        <f>"21.1"</f>
        <v>21.1</v>
      </c>
      <c r="D370" t="s">
        <v>1454</v>
      </c>
    </row>
    <row r="371" spans="1:4" x14ac:dyDescent="0.25">
      <c r="A371" t="str">
        <f>"9036"</f>
        <v>9036</v>
      </c>
      <c r="B371" t="s">
        <v>370</v>
      </c>
      <c r="C371" t="str">
        <f>"15.2"</f>
        <v>15.2</v>
      </c>
      <c r="D371" t="s">
        <v>1454</v>
      </c>
    </row>
    <row r="372" spans="1:4" x14ac:dyDescent="0.25">
      <c r="A372" t="str">
        <f>"20407"</f>
        <v>20407</v>
      </c>
      <c r="B372" t="s">
        <v>371</v>
      </c>
      <c r="C372" t="str">
        <f>"29.1"</f>
        <v>29.1</v>
      </c>
      <c r="D372" t="s">
        <v>1454</v>
      </c>
    </row>
    <row r="373" spans="1:4" x14ac:dyDescent="0.25">
      <c r="A373" t="str">
        <f>"9038"</f>
        <v>9038</v>
      </c>
      <c r="B373" t="s">
        <v>372</v>
      </c>
      <c r="C373" t="str">
        <f>"14.6"</f>
        <v>14.6</v>
      </c>
      <c r="D373" t="s">
        <v>1454</v>
      </c>
    </row>
    <row r="374" spans="1:4" x14ac:dyDescent="0.25">
      <c r="A374" t="str">
        <f>"72927"</f>
        <v>72927</v>
      </c>
      <c r="B374" t="s">
        <v>373</v>
      </c>
      <c r="C374" t="str">
        <f>"13.9"</f>
        <v>13.9</v>
      </c>
      <c r="D374" t="s">
        <v>1454</v>
      </c>
    </row>
    <row r="375" spans="1:4" x14ac:dyDescent="0.25">
      <c r="A375" t="str">
        <f>"79554"</f>
        <v>79554</v>
      </c>
      <c r="B375" t="s">
        <v>374</v>
      </c>
      <c r="C375" t="str">
        <f>"2.3"</f>
        <v>2.3</v>
      </c>
      <c r="D375" t="s">
        <v>1454</v>
      </c>
    </row>
    <row r="376" spans="1:4" x14ac:dyDescent="0.25">
      <c r="A376" t="str">
        <f>"79555"</f>
        <v>79555</v>
      </c>
      <c r="B376" t="s">
        <v>375</v>
      </c>
      <c r="C376" t="str">
        <f>"5.3"</f>
        <v>5.3</v>
      </c>
      <c r="D376" t="s">
        <v>1454</v>
      </c>
    </row>
    <row r="377" spans="1:4" x14ac:dyDescent="0.25">
      <c r="A377" t="str">
        <f>"9041"</f>
        <v>9041</v>
      </c>
      <c r="B377" t="s">
        <v>376</v>
      </c>
      <c r="C377" t="str">
        <f>"22.6"</f>
        <v>22.6</v>
      </c>
      <c r="D377" t="s">
        <v>1454</v>
      </c>
    </row>
    <row r="378" spans="1:4" x14ac:dyDescent="0.25">
      <c r="A378" t="str">
        <f>"9044"</f>
        <v>9044</v>
      </c>
      <c r="B378" t="s">
        <v>377</v>
      </c>
      <c r="C378" t="str">
        <f>"23.3"</f>
        <v>23.3</v>
      </c>
      <c r="D378" t="s">
        <v>1454</v>
      </c>
    </row>
    <row r="379" spans="1:4" x14ac:dyDescent="0.25">
      <c r="A379" t="str">
        <f>"67334"</f>
        <v>67334</v>
      </c>
      <c r="B379" t="s">
        <v>378</v>
      </c>
      <c r="C379" t="str">
        <f>"21.9"</f>
        <v>21.9</v>
      </c>
      <c r="D379" t="s">
        <v>1454</v>
      </c>
    </row>
    <row r="380" spans="1:4" x14ac:dyDescent="0.25">
      <c r="A380" t="str">
        <f>"9054"</f>
        <v>9054</v>
      </c>
      <c r="B380" t="s">
        <v>379</v>
      </c>
      <c r="C380" t="str">
        <f>"23.8"</f>
        <v>23.8</v>
      </c>
      <c r="D380" t="s">
        <v>1454</v>
      </c>
    </row>
    <row r="381" spans="1:4" x14ac:dyDescent="0.25">
      <c r="A381" t="str">
        <f>"68879"</f>
        <v>68879</v>
      </c>
      <c r="B381" t="s">
        <v>380</v>
      </c>
      <c r="C381" t="str">
        <f>"9.6"</f>
        <v>9.6</v>
      </c>
      <c r="D381" t="s">
        <v>1454</v>
      </c>
    </row>
    <row r="382" spans="1:4" x14ac:dyDescent="0.25">
      <c r="A382" t="str">
        <f>"10591"</f>
        <v>10591</v>
      </c>
      <c r="B382" t="s">
        <v>381</v>
      </c>
      <c r="C382" t="str">
        <f>"15.4000"</f>
        <v>15.4000</v>
      </c>
      <c r="D382" t="s">
        <v>1454</v>
      </c>
    </row>
    <row r="383" spans="1:4" x14ac:dyDescent="0.25">
      <c r="A383" t="str">
        <f>"9061"</f>
        <v>9061</v>
      </c>
      <c r="B383" t="s">
        <v>382</v>
      </c>
      <c r="C383" t="str">
        <f>"18.0"</f>
        <v>18.0</v>
      </c>
      <c r="D383" t="s">
        <v>1454</v>
      </c>
    </row>
    <row r="384" spans="1:4" x14ac:dyDescent="0.25">
      <c r="A384" t="str">
        <f>"76515"</f>
        <v>76515</v>
      </c>
      <c r="B384" t="s">
        <v>383</v>
      </c>
      <c r="C384" t="str">
        <f>"19.7"</f>
        <v>19.7</v>
      </c>
      <c r="D384" t="s">
        <v>1454</v>
      </c>
    </row>
    <row r="385" spans="1:4" x14ac:dyDescent="0.25">
      <c r="A385" t="str">
        <f>"75956"</f>
        <v>75956</v>
      </c>
      <c r="B385" t="s">
        <v>384</v>
      </c>
      <c r="C385" t="str">
        <f>"29.1"</f>
        <v>29.1</v>
      </c>
      <c r="D385" t="s">
        <v>1454</v>
      </c>
    </row>
    <row r="386" spans="1:4" x14ac:dyDescent="0.25">
      <c r="A386" t="str">
        <f>"9069"</f>
        <v>9069</v>
      </c>
      <c r="B386" t="s">
        <v>385</v>
      </c>
      <c r="C386" t="str">
        <f>"12.9"</f>
        <v>12.9</v>
      </c>
      <c r="D386" t="s">
        <v>1454</v>
      </c>
    </row>
    <row r="387" spans="1:4" x14ac:dyDescent="0.25">
      <c r="A387" t="str">
        <f>"9070"</f>
        <v>9070</v>
      </c>
      <c r="B387" t="s">
        <v>386</v>
      </c>
      <c r="C387" t="str">
        <f>"21.5"</f>
        <v>21.5</v>
      </c>
      <c r="D387" t="s">
        <v>1454</v>
      </c>
    </row>
    <row r="388" spans="1:4" x14ac:dyDescent="0.25">
      <c r="A388" t="str">
        <f>"9071"</f>
        <v>9071</v>
      </c>
      <c r="B388" t="s">
        <v>387</v>
      </c>
      <c r="C388" t="str">
        <f>"25.7"</f>
        <v>25.7</v>
      </c>
      <c r="D388" t="s">
        <v>1454</v>
      </c>
    </row>
    <row r="389" spans="1:4" x14ac:dyDescent="0.25">
      <c r="A389" t="str">
        <f>"1006655"</f>
        <v>1006655</v>
      </c>
      <c r="B389" t="s">
        <v>388</v>
      </c>
      <c r="C389" t="str">
        <f>"26.1"</f>
        <v>26.1</v>
      </c>
      <c r="D389" t="s">
        <v>1454</v>
      </c>
    </row>
    <row r="390" spans="1:4" x14ac:dyDescent="0.25">
      <c r="A390" t="str">
        <f>"75235"</f>
        <v>75235</v>
      </c>
      <c r="B390" t="s">
        <v>389</v>
      </c>
      <c r="C390" t="str">
        <f>"13.9"</f>
        <v>13.9</v>
      </c>
      <c r="D390" t="s">
        <v>1454</v>
      </c>
    </row>
    <row r="391" spans="1:4" x14ac:dyDescent="0.25">
      <c r="A391" t="str">
        <f>"9075"</f>
        <v>9075</v>
      </c>
      <c r="B391" t="s">
        <v>390</v>
      </c>
      <c r="C391" t="str">
        <f>"14.7"</f>
        <v>14.7</v>
      </c>
      <c r="D391" t="s">
        <v>1454</v>
      </c>
    </row>
    <row r="392" spans="1:4" x14ac:dyDescent="0.25">
      <c r="A392" t="str">
        <f>"47251"</f>
        <v>47251</v>
      </c>
      <c r="B392" t="s">
        <v>391</v>
      </c>
      <c r="C392" t="str">
        <f>"8.8"</f>
        <v>8.8</v>
      </c>
      <c r="D392" t="s">
        <v>1454</v>
      </c>
    </row>
    <row r="393" spans="1:4" x14ac:dyDescent="0.25">
      <c r="A393" t="str">
        <f>"9076"</f>
        <v>9076</v>
      </c>
      <c r="B393" t="s">
        <v>392</v>
      </c>
      <c r="C393" t="str">
        <f>"7.9"</f>
        <v>7.9</v>
      </c>
      <c r="D393" t="s">
        <v>1454</v>
      </c>
    </row>
    <row r="394" spans="1:4" x14ac:dyDescent="0.25">
      <c r="A394" t="str">
        <f>"67223"</f>
        <v>67223</v>
      </c>
      <c r="B394" t="s">
        <v>393</v>
      </c>
      <c r="C394" t="str">
        <f>"13.1"</f>
        <v>13.1</v>
      </c>
      <c r="D394" t="s">
        <v>1454</v>
      </c>
    </row>
    <row r="395" spans="1:4" x14ac:dyDescent="0.25">
      <c r="A395" t="str">
        <f>"9079"</f>
        <v>9079</v>
      </c>
      <c r="B395" t="s">
        <v>394</v>
      </c>
      <c r="C395" t="str">
        <f>"13.6"</f>
        <v>13.6</v>
      </c>
      <c r="D395" t="s">
        <v>1454</v>
      </c>
    </row>
    <row r="396" spans="1:4" x14ac:dyDescent="0.25">
      <c r="A396" t="str">
        <f>"1000078"</f>
        <v>1000078</v>
      </c>
      <c r="B396" t="s">
        <v>395</v>
      </c>
      <c r="C396" t="str">
        <f>"19.0"</f>
        <v>19.0</v>
      </c>
      <c r="D396" t="s">
        <v>1454</v>
      </c>
    </row>
    <row r="397" spans="1:4" x14ac:dyDescent="0.25">
      <c r="A397" t="str">
        <f>"9082"</f>
        <v>9082</v>
      </c>
      <c r="B397" t="s">
        <v>396</v>
      </c>
      <c r="C397" t="str">
        <f>"25.1"</f>
        <v>25.1</v>
      </c>
      <c r="D397" t="s">
        <v>1454</v>
      </c>
    </row>
    <row r="398" spans="1:4" x14ac:dyDescent="0.25">
      <c r="A398" t="str">
        <f>"73703"</f>
        <v>73703</v>
      </c>
      <c r="B398" t="s">
        <v>397</v>
      </c>
      <c r="C398" t="str">
        <f>"19.5"</f>
        <v>19.5</v>
      </c>
      <c r="D398" t="s">
        <v>1454</v>
      </c>
    </row>
    <row r="399" spans="1:4" x14ac:dyDescent="0.25">
      <c r="A399" t="str">
        <f>"49864"</f>
        <v>49864</v>
      </c>
      <c r="B399" t="s">
        <v>398</v>
      </c>
      <c r="C399" t="str">
        <f>"19.5"</f>
        <v>19.5</v>
      </c>
      <c r="D399" t="s">
        <v>1454</v>
      </c>
    </row>
    <row r="400" spans="1:4" x14ac:dyDescent="0.25">
      <c r="A400" t="str">
        <f>"68412"</f>
        <v>68412</v>
      </c>
      <c r="B400" t="s">
        <v>399</v>
      </c>
      <c r="C400" t="str">
        <f>"16.7"</f>
        <v>16.7</v>
      </c>
      <c r="D400" t="s">
        <v>1454</v>
      </c>
    </row>
    <row r="401" spans="1:4" x14ac:dyDescent="0.25">
      <c r="A401" t="str">
        <f>"50727"</f>
        <v>50727</v>
      </c>
      <c r="B401" t="s">
        <v>400</v>
      </c>
      <c r="C401" t="str">
        <f>"14.5"</f>
        <v>14.5</v>
      </c>
      <c r="D401" t="s">
        <v>1454</v>
      </c>
    </row>
    <row r="402" spans="1:4" x14ac:dyDescent="0.25">
      <c r="A402" t="str">
        <f>"9093"</f>
        <v>9093</v>
      </c>
      <c r="B402" t="s">
        <v>401</v>
      </c>
      <c r="C402" t="str">
        <f>"10.7"</f>
        <v>10.7</v>
      </c>
      <c r="D402" t="s">
        <v>1454</v>
      </c>
    </row>
    <row r="403" spans="1:4" x14ac:dyDescent="0.25">
      <c r="A403" t="str">
        <f>"10419"</f>
        <v>10419</v>
      </c>
      <c r="B403" t="s">
        <v>402</v>
      </c>
      <c r="C403" t="str">
        <f>"17.9"</f>
        <v>17.9</v>
      </c>
      <c r="D403" t="s">
        <v>1454</v>
      </c>
    </row>
    <row r="404" spans="1:4" x14ac:dyDescent="0.25">
      <c r="A404" t="str">
        <f>"9095"</f>
        <v>9095</v>
      </c>
      <c r="B404" t="s">
        <v>403</v>
      </c>
      <c r="C404" t="str">
        <f>"19.4000"</f>
        <v>19.4000</v>
      </c>
      <c r="D404" t="s">
        <v>1454</v>
      </c>
    </row>
    <row r="405" spans="1:4" x14ac:dyDescent="0.25">
      <c r="A405" t="str">
        <f>"44341"</f>
        <v>44341</v>
      </c>
      <c r="B405" t="s">
        <v>404</v>
      </c>
      <c r="C405" t="str">
        <f>"9.0"</f>
        <v>9.0</v>
      </c>
      <c r="D405" t="s">
        <v>1454</v>
      </c>
    </row>
    <row r="406" spans="1:4" x14ac:dyDescent="0.25">
      <c r="A406" t="str">
        <f>"9097"</f>
        <v>9097</v>
      </c>
      <c r="B406" t="s">
        <v>405</v>
      </c>
      <c r="C406" t="str">
        <f>"19.0"</f>
        <v>19.0</v>
      </c>
      <c r="D406" t="s">
        <v>1454</v>
      </c>
    </row>
    <row r="407" spans="1:4" x14ac:dyDescent="0.25">
      <c r="A407" t="str">
        <f>"9101"</f>
        <v>9101</v>
      </c>
      <c r="B407" t="s">
        <v>406</v>
      </c>
      <c r="C407" t="str">
        <f>"11.2"</f>
        <v>11.2</v>
      </c>
      <c r="D407" t="s">
        <v>1454</v>
      </c>
    </row>
    <row r="408" spans="1:4" x14ac:dyDescent="0.25">
      <c r="A408" t="str">
        <f>"9103"</f>
        <v>9103</v>
      </c>
      <c r="B408" t="s">
        <v>407</v>
      </c>
      <c r="C408" t="str">
        <f>"20.5"</f>
        <v>20.5</v>
      </c>
      <c r="D408" t="s">
        <v>1454</v>
      </c>
    </row>
    <row r="409" spans="1:4" x14ac:dyDescent="0.25">
      <c r="A409" t="str">
        <f>"8217"</f>
        <v>8217</v>
      </c>
      <c r="B409" t="s">
        <v>408</v>
      </c>
      <c r="C409" t="str">
        <f>"21.8"</f>
        <v>21.8</v>
      </c>
      <c r="D409" t="s">
        <v>1454</v>
      </c>
    </row>
    <row r="410" spans="1:4" x14ac:dyDescent="0.25">
      <c r="A410" t="str">
        <f>"1010780"</f>
        <v>1010780</v>
      </c>
      <c r="B410" t="s">
        <v>409</v>
      </c>
      <c r="C410" t="s">
        <v>1</v>
      </c>
      <c r="D410" t="s">
        <v>1454</v>
      </c>
    </row>
    <row r="411" spans="1:4" x14ac:dyDescent="0.25">
      <c r="A411" t="str">
        <f>"77409"</f>
        <v>77409</v>
      </c>
      <c r="B411" t="s">
        <v>410</v>
      </c>
      <c r="C411" t="str">
        <f>"25.4"</f>
        <v>25.4</v>
      </c>
      <c r="D411" t="s">
        <v>1454</v>
      </c>
    </row>
    <row r="412" spans="1:4" x14ac:dyDescent="0.25">
      <c r="A412" t="str">
        <f>"1010781"</f>
        <v>1010781</v>
      </c>
      <c r="B412" t="s">
        <v>411</v>
      </c>
      <c r="C412" t="s">
        <v>1</v>
      </c>
      <c r="D412" t="s">
        <v>1454</v>
      </c>
    </row>
    <row r="413" spans="1:4" x14ac:dyDescent="0.25">
      <c r="A413" t="str">
        <f>"10225"</f>
        <v>10225</v>
      </c>
      <c r="B413" t="s">
        <v>412</v>
      </c>
      <c r="C413" t="str">
        <f>"15.4"</f>
        <v>15.4</v>
      </c>
      <c r="D413" t="s">
        <v>1454</v>
      </c>
    </row>
    <row r="414" spans="1:4" x14ac:dyDescent="0.25">
      <c r="A414" t="str">
        <f>"9109"</f>
        <v>9109</v>
      </c>
      <c r="B414" t="s">
        <v>413</v>
      </c>
      <c r="C414" t="str">
        <f>"12.7"</f>
        <v>12.7</v>
      </c>
      <c r="D414" t="s">
        <v>1454</v>
      </c>
    </row>
    <row r="415" spans="1:4" x14ac:dyDescent="0.25">
      <c r="A415" t="str">
        <f>"10285"</f>
        <v>10285</v>
      </c>
      <c r="B415" t="s">
        <v>414</v>
      </c>
      <c r="C415" t="str">
        <f>"15.7"</f>
        <v>15.7</v>
      </c>
      <c r="D415" t="s">
        <v>1454</v>
      </c>
    </row>
    <row r="416" spans="1:4" x14ac:dyDescent="0.25">
      <c r="A416" t="str">
        <f>"6443"</f>
        <v>6443</v>
      </c>
      <c r="B416" t="s">
        <v>415</v>
      </c>
      <c r="C416" t="str">
        <f>"24.4"</f>
        <v>24.4</v>
      </c>
      <c r="D416" t="s">
        <v>1454</v>
      </c>
    </row>
    <row r="417" spans="1:4" x14ac:dyDescent="0.25">
      <c r="A417" t="str">
        <f>"7453"</f>
        <v>7453</v>
      </c>
      <c r="B417" t="s">
        <v>416</v>
      </c>
      <c r="C417" t="str">
        <f>"21.0"</f>
        <v>21.0</v>
      </c>
      <c r="D417" t="s">
        <v>1454</v>
      </c>
    </row>
    <row r="418" spans="1:4" x14ac:dyDescent="0.25">
      <c r="A418" t="str">
        <f>"2756"</f>
        <v>2756</v>
      </c>
      <c r="B418" t="s">
        <v>417</v>
      </c>
      <c r="C418" t="str">
        <f>"8.6"</f>
        <v>8.6</v>
      </c>
      <c r="D418" t="s">
        <v>1454</v>
      </c>
    </row>
    <row r="419" spans="1:4" x14ac:dyDescent="0.25">
      <c r="A419" t="str">
        <f>"16003"</f>
        <v>16003</v>
      </c>
      <c r="B419" t="s">
        <v>418</v>
      </c>
      <c r="C419" t="str">
        <f>"11.8"</f>
        <v>11.8</v>
      </c>
      <c r="D419" t="s">
        <v>1454</v>
      </c>
    </row>
    <row r="420" spans="1:4" x14ac:dyDescent="0.25">
      <c r="A420" t="str">
        <f>"9112"</f>
        <v>9112</v>
      </c>
      <c r="B420" t="s">
        <v>419</v>
      </c>
      <c r="C420" t="str">
        <f>"24.1"</f>
        <v>24.1</v>
      </c>
      <c r="D420" t="s">
        <v>1454</v>
      </c>
    </row>
    <row r="421" spans="1:4" x14ac:dyDescent="0.25">
      <c r="A421" t="str">
        <f>"10725"</f>
        <v>10725</v>
      </c>
      <c r="B421" t="s">
        <v>420</v>
      </c>
      <c r="C421" t="str">
        <f>"29.8"</f>
        <v>29.8</v>
      </c>
      <c r="D421" t="s">
        <v>1454</v>
      </c>
    </row>
    <row r="422" spans="1:4" x14ac:dyDescent="0.25">
      <c r="A422" t="str">
        <f>"1003032"</f>
        <v>1003032</v>
      </c>
      <c r="B422" t="s">
        <v>421</v>
      </c>
      <c r="C422" t="str">
        <f>"15.5"</f>
        <v>15.5</v>
      </c>
      <c r="D422" t="s">
        <v>1454</v>
      </c>
    </row>
    <row r="423" spans="1:4" x14ac:dyDescent="0.25">
      <c r="A423" t="str">
        <f>"39100"</f>
        <v>39100</v>
      </c>
      <c r="B423" t="s">
        <v>422</v>
      </c>
      <c r="C423" t="str">
        <f>"3.0"</f>
        <v>3.0</v>
      </c>
      <c r="D423" t="s">
        <v>1454</v>
      </c>
    </row>
    <row r="424" spans="1:4" x14ac:dyDescent="0.25">
      <c r="A424" t="str">
        <f>"9116"</f>
        <v>9116</v>
      </c>
      <c r="B424" t="s">
        <v>423</v>
      </c>
      <c r="C424" t="str">
        <f>"10.9"</f>
        <v>10.9</v>
      </c>
      <c r="D424" t="s">
        <v>1454</v>
      </c>
    </row>
    <row r="425" spans="1:4" x14ac:dyDescent="0.25">
      <c r="A425" t="str">
        <f>"72798"</f>
        <v>72798</v>
      </c>
      <c r="B425" t="s">
        <v>424</v>
      </c>
      <c r="C425" t="str">
        <f>"7.6"</f>
        <v>7.6</v>
      </c>
      <c r="D425" t="s">
        <v>1454</v>
      </c>
    </row>
    <row r="426" spans="1:4" x14ac:dyDescent="0.25">
      <c r="A426" t="str">
        <f>"1006656"</f>
        <v>1006656</v>
      </c>
      <c r="B426" t="s">
        <v>425</v>
      </c>
      <c r="C426" t="str">
        <f>"20.4000"</f>
        <v>20.4000</v>
      </c>
      <c r="D426" t="s">
        <v>1454</v>
      </c>
    </row>
    <row r="427" spans="1:4" x14ac:dyDescent="0.25">
      <c r="A427" t="str">
        <f>"9119"</f>
        <v>9119</v>
      </c>
      <c r="B427" t="s">
        <v>426</v>
      </c>
      <c r="C427" t="str">
        <f>"17.5"</f>
        <v>17.5</v>
      </c>
      <c r="D427" t="s">
        <v>1454</v>
      </c>
    </row>
    <row r="428" spans="1:4" x14ac:dyDescent="0.25">
      <c r="A428" t="str">
        <f>"66537"</f>
        <v>66537</v>
      </c>
      <c r="B428" t="s">
        <v>427</v>
      </c>
      <c r="C428" t="str">
        <f>"14.2"</f>
        <v>14.2</v>
      </c>
      <c r="D428" t="s">
        <v>1454</v>
      </c>
    </row>
    <row r="429" spans="1:4" x14ac:dyDescent="0.25">
      <c r="A429" t="str">
        <f>"9125"</f>
        <v>9125</v>
      </c>
      <c r="B429" t="s">
        <v>428</v>
      </c>
      <c r="C429" t="str">
        <f>"24.1"</f>
        <v>24.1</v>
      </c>
      <c r="D429" t="s">
        <v>1454</v>
      </c>
    </row>
    <row r="430" spans="1:4" x14ac:dyDescent="0.25">
      <c r="A430" t="str">
        <f>"326"</f>
        <v>326</v>
      </c>
      <c r="B430" t="s">
        <v>429</v>
      </c>
      <c r="C430" t="str">
        <f>"11.2"</f>
        <v>11.2</v>
      </c>
      <c r="D430" t="s">
        <v>1454</v>
      </c>
    </row>
    <row r="431" spans="1:4" x14ac:dyDescent="0.25">
      <c r="A431" t="str">
        <f>"10269"</f>
        <v>10269</v>
      </c>
      <c r="B431" t="s">
        <v>430</v>
      </c>
      <c r="C431" t="str">
        <f>"8.3"</f>
        <v>8.3</v>
      </c>
      <c r="D431" t="s">
        <v>1454</v>
      </c>
    </row>
    <row r="432" spans="1:4" x14ac:dyDescent="0.25">
      <c r="A432" t="str">
        <f>"9132"</f>
        <v>9132</v>
      </c>
      <c r="B432" t="s">
        <v>431</v>
      </c>
      <c r="C432" t="str">
        <f>"18.1"</f>
        <v>18.1</v>
      </c>
      <c r="D432" t="s">
        <v>1454</v>
      </c>
    </row>
    <row r="433" spans="1:4" x14ac:dyDescent="0.25">
      <c r="A433" t="str">
        <f>"9134"</f>
        <v>9134</v>
      </c>
      <c r="B433" t="s">
        <v>432</v>
      </c>
      <c r="C433" t="str">
        <f>"26.3"</f>
        <v>26.3</v>
      </c>
      <c r="D433" t="s">
        <v>1454</v>
      </c>
    </row>
    <row r="434" spans="1:4" x14ac:dyDescent="0.25">
      <c r="A434" t="str">
        <f>"63035"</f>
        <v>63035</v>
      </c>
      <c r="B434" t="s">
        <v>433</v>
      </c>
      <c r="C434" t="str">
        <f>"29.9"</f>
        <v>29.9</v>
      </c>
      <c r="D434" t="s">
        <v>1454</v>
      </c>
    </row>
    <row r="435" spans="1:4" x14ac:dyDescent="0.25">
      <c r="A435" t="str">
        <f>"12885"</f>
        <v>12885</v>
      </c>
      <c r="B435" t="s">
        <v>434</v>
      </c>
      <c r="C435" t="str">
        <f>"11.3"</f>
        <v>11.3</v>
      </c>
      <c r="D435" t="s">
        <v>1454</v>
      </c>
    </row>
    <row r="436" spans="1:4" x14ac:dyDescent="0.25">
      <c r="A436" t="str">
        <f>"70262"</f>
        <v>70262</v>
      </c>
      <c r="B436" t="s">
        <v>435</v>
      </c>
      <c r="C436" t="str">
        <f>"18.6"</f>
        <v>18.6</v>
      </c>
      <c r="D436" t="s">
        <v>1454</v>
      </c>
    </row>
    <row r="437" spans="1:4" x14ac:dyDescent="0.25">
      <c r="A437" t="str">
        <f>"1010549"</f>
        <v>1010549</v>
      </c>
      <c r="B437" t="s">
        <v>436</v>
      </c>
      <c r="C437" t="str">
        <f>"34.9"</f>
        <v>34.9</v>
      </c>
      <c r="D437" t="s">
        <v>1454</v>
      </c>
    </row>
    <row r="438" spans="1:4" x14ac:dyDescent="0.25">
      <c r="A438" t="str">
        <f>"8457"</f>
        <v>8457</v>
      </c>
      <c r="B438" t="s">
        <v>437</v>
      </c>
      <c r="C438" t="str">
        <f>"13.5"</f>
        <v>13.5</v>
      </c>
      <c r="D438" t="s">
        <v>1454</v>
      </c>
    </row>
    <row r="439" spans="1:4" x14ac:dyDescent="0.25">
      <c r="A439" t="str">
        <f>"64325"</f>
        <v>64325</v>
      </c>
      <c r="B439" t="s">
        <v>438</v>
      </c>
      <c r="C439" t="str">
        <f>"24.6"</f>
        <v>24.6</v>
      </c>
      <c r="D439" t="s">
        <v>1454</v>
      </c>
    </row>
    <row r="440" spans="1:4" x14ac:dyDescent="0.25">
      <c r="A440" t="str">
        <f>"9148"</f>
        <v>9148</v>
      </c>
      <c r="B440" t="s">
        <v>439</v>
      </c>
      <c r="C440" t="str">
        <f>"30.2"</f>
        <v>30.2</v>
      </c>
      <c r="D440" t="s">
        <v>1454</v>
      </c>
    </row>
    <row r="441" spans="1:4" x14ac:dyDescent="0.25">
      <c r="A441" t="str">
        <f>"39734"</f>
        <v>39734</v>
      </c>
      <c r="B441" t="s">
        <v>440</v>
      </c>
      <c r="C441" t="str">
        <f>"20.4"</f>
        <v>20.4</v>
      </c>
      <c r="D441" t="s">
        <v>1454</v>
      </c>
    </row>
    <row r="442" spans="1:4" x14ac:dyDescent="0.25">
      <c r="A442" t="str">
        <f>"1005707"</f>
        <v>1005707</v>
      </c>
      <c r="B442" t="s">
        <v>441</v>
      </c>
      <c r="C442" t="s">
        <v>1</v>
      </c>
      <c r="D442" t="s">
        <v>1454</v>
      </c>
    </row>
    <row r="443" spans="1:4" x14ac:dyDescent="0.25">
      <c r="A443" t="str">
        <f>"46297"</f>
        <v>46297</v>
      </c>
      <c r="B443" t="s">
        <v>442</v>
      </c>
      <c r="C443" t="str">
        <f>"10.9"</f>
        <v>10.9</v>
      </c>
      <c r="D443" t="s">
        <v>1454</v>
      </c>
    </row>
    <row r="444" spans="1:4" x14ac:dyDescent="0.25">
      <c r="A444" t="str">
        <f>"77566"</f>
        <v>77566</v>
      </c>
      <c r="B444" t="s">
        <v>443</v>
      </c>
      <c r="C444" t="str">
        <f>"15.9"</f>
        <v>15.9</v>
      </c>
      <c r="D444" t="s">
        <v>1454</v>
      </c>
    </row>
    <row r="445" spans="1:4" x14ac:dyDescent="0.25">
      <c r="A445" t="str">
        <f>"36557"</f>
        <v>36557</v>
      </c>
      <c r="B445" t="s">
        <v>444</v>
      </c>
      <c r="C445" t="str">
        <f>"21.6"</f>
        <v>21.6</v>
      </c>
      <c r="D445" t="s">
        <v>1454</v>
      </c>
    </row>
    <row r="446" spans="1:4" x14ac:dyDescent="0.25">
      <c r="A446" t="str">
        <f>"51124"</f>
        <v>51124</v>
      </c>
      <c r="B446" t="s">
        <v>445</v>
      </c>
      <c r="C446" t="str">
        <f>"4.0"</f>
        <v>4.0</v>
      </c>
      <c r="D446" t="s">
        <v>1454</v>
      </c>
    </row>
    <row r="447" spans="1:4" x14ac:dyDescent="0.25">
      <c r="A447" t="str">
        <f>"7565"</f>
        <v>7565</v>
      </c>
      <c r="B447" t="s">
        <v>446</v>
      </c>
      <c r="C447" t="str">
        <f>"15.0"</f>
        <v>15.0</v>
      </c>
      <c r="D447" t="s">
        <v>1454</v>
      </c>
    </row>
    <row r="448" spans="1:4" x14ac:dyDescent="0.25">
      <c r="A448" t="str">
        <f>"9166"</f>
        <v>9166</v>
      </c>
      <c r="B448" t="s">
        <v>447</v>
      </c>
      <c r="C448" t="str">
        <f>"17.9"</f>
        <v>17.9</v>
      </c>
      <c r="D448" t="s">
        <v>1454</v>
      </c>
    </row>
    <row r="449" spans="1:4" x14ac:dyDescent="0.25">
      <c r="A449" t="str">
        <f>"9168"</f>
        <v>9168</v>
      </c>
      <c r="B449" t="s">
        <v>448</v>
      </c>
      <c r="C449" t="str">
        <f>"14.6"</f>
        <v>14.6</v>
      </c>
      <c r="D449" t="s">
        <v>1454</v>
      </c>
    </row>
    <row r="450" spans="1:4" x14ac:dyDescent="0.25">
      <c r="A450" t="str">
        <f>"67149"</f>
        <v>67149</v>
      </c>
      <c r="B450" t="s">
        <v>449</v>
      </c>
      <c r="C450" t="str">
        <f>"20.0"</f>
        <v>20.0</v>
      </c>
      <c r="D450" t="s">
        <v>1454</v>
      </c>
    </row>
    <row r="451" spans="1:4" x14ac:dyDescent="0.25">
      <c r="A451" t="str">
        <f>"65970"</f>
        <v>65970</v>
      </c>
      <c r="B451" t="s">
        <v>450</v>
      </c>
      <c r="C451" t="str">
        <f>"16.7"</f>
        <v>16.7</v>
      </c>
      <c r="D451" t="s">
        <v>1454</v>
      </c>
    </row>
    <row r="452" spans="1:4" x14ac:dyDescent="0.25">
      <c r="A452" t="str">
        <f>"9169"</f>
        <v>9169</v>
      </c>
      <c r="B452" t="s">
        <v>451</v>
      </c>
      <c r="C452" t="str">
        <f>"12.7"</f>
        <v>12.7</v>
      </c>
      <c r="D452" t="s">
        <v>1454</v>
      </c>
    </row>
    <row r="453" spans="1:4" x14ac:dyDescent="0.25">
      <c r="A453" t="str">
        <f>"65558"</f>
        <v>65558</v>
      </c>
      <c r="B453" t="s">
        <v>452</v>
      </c>
      <c r="C453" t="str">
        <f>"25.3"</f>
        <v>25.3</v>
      </c>
      <c r="D453" t="s">
        <v>1454</v>
      </c>
    </row>
    <row r="454" spans="1:4" x14ac:dyDescent="0.25">
      <c r="A454" t="str">
        <f>"9170"</f>
        <v>9170</v>
      </c>
      <c r="B454" t="s">
        <v>453</v>
      </c>
      <c r="C454" t="str">
        <f>"21.1"</f>
        <v>21.1</v>
      </c>
      <c r="D454" t="s">
        <v>1454</v>
      </c>
    </row>
    <row r="455" spans="1:4" x14ac:dyDescent="0.25">
      <c r="A455" t="str">
        <f>"49549"</f>
        <v>49549</v>
      </c>
      <c r="B455" t="s">
        <v>454</v>
      </c>
      <c r="C455" t="str">
        <f>"11.8"</f>
        <v>11.8</v>
      </c>
      <c r="D455" t="s">
        <v>1454</v>
      </c>
    </row>
    <row r="456" spans="1:4" x14ac:dyDescent="0.25">
      <c r="A456" t="str">
        <f>"49548"</f>
        <v>49548</v>
      </c>
      <c r="B456" t="s">
        <v>455</v>
      </c>
      <c r="C456" t="str">
        <f>"13.7"</f>
        <v>13.7</v>
      </c>
      <c r="D456" t="s">
        <v>1454</v>
      </c>
    </row>
    <row r="457" spans="1:4" x14ac:dyDescent="0.25">
      <c r="A457" t="str">
        <f>"78127"</f>
        <v>78127</v>
      </c>
      <c r="B457" t="s">
        <v>456</v>
      </c>
      <c r="C457" t="str">
        <f>"15.3"</f>
        <v>15.3</v>
      </c>
      <c r="D457" t="s">
        <v>1454</v>
      </c>
    </row>
    <row r="458" spans="1:4" x14ac:dyDescent="0.25">
      <c r="A458" t="str">
        <f>"9176"</f>
        <v>9176</v>
      </c>
      <c r="B458" t="s">
        <v>457</v>
      </c>
      <c r="C458" t="str">
        <f>"15.3"</f>
        <v>15.3</v>
      </c>
      <c r="D458" t="s">
        <v>1454</v>
      </c>
    </row>
    <row r="459" spans="1:4" x14ac:dyDescent="0.25">
      <c r="A459" t="str">
        <f>"66064"</f>
        <v>66064</v>
      </c>
      <c r="B459" t="s">
        <v>458</v>
      </c>
      <c r="C459" t="str">
        <f>"15.3"</f>
        <v>15.3</v>
      </c>
      <c r="D459" t="s">
        <v>1454</v>
      </c>
    </row>
    <row r="460" spans="1:4" x14ac:dyDescent="0.25">
      <c r="A460" t="str">
        <f>"75904"</f>
        <v>75904</v>
      </c>
      <c r="B460" t="s">
        <v>459</v>
      </c>
      <c r="C460" t="str">
        <f>"20.7"</f>
        <v>20.7</v>
      </c>
      <c r="D460" t="s">
        <v>1454</v>
      </c>
    </row>
    <row r="461" spans="1:4" x14ac:dyDescent="0.25">
      <c r="A461" t="str">
        <f>"9178"</f>
        <v>9178</v>
      </c>
      <c r="B461" t="s">
        <v>460</v>
      </c>
      <c r="C461" t="str">
        <f>"17.4"</f>
        <v>17.4</v>
      </c>
      <c r="D461" t="s">
        <v>1454</v>
      </c>
    </row>
    <row r="462" spans="1:4" x14ac:dyDescent="0.25">
      <c r="A462" t="str">
        <f>"1012011"</f>
        <v>1012011</v>
      </c>
      <c r="B462" t="s">
        <v>461</v>
      </c>
      <c r="C462" t="str">
        <f>"28.2"</f>
        <v>28.2</v>
      </c>
      <c r="D462" t="s">
        <v>1454</v>
      </c>
    </row>
    <row r="463" spans="1:4" x14ac:dyDescent="0.25">
      <c r="A463" t="str">
        <f>"9179"</f>
        <v>9179</v>
      </c>
      <c r="B463" t="s">
        <v>461</v>
      </c>
      <c r="C463" t="str">
        <f>"23.3"</f>
        <v>23.3</v>
      </c>
      <c r="D463" t="s">
        <v>1454</v>
      </c>
    </row>
    <row r="464" spans="1:4" x14ac:dyDescent="0.25">
      <c r="A464" t="str">
        <f>"42340"</f>
        <v>42340</v>
      </c>
      <c r="B464" t="s">
        <v>461</v>
      </c>
      <c r="C464" t="str">
        <f>"13.2"</f>
        <v>13.2</v>
      </c>
      <c r="D464" t="s">
        <v>1454</v>
      </c>
    </row>
    <row r="465" spans="1:4" x14ac:dyDescent="0.25">
      <c r="A465" t="str">
        <f>"1003559"</f>
        <v>1003559</v>
      </c>
      <c r="B465" t="s">
        <v>462</v>
      </c>
      <c r="C465" t="str">
        <f>"10.0"</f>
        <v>10.0</v>
      </c>
      <c r="D465" t="s">
        <v>1454</v>
      </c>
    </row>
    <row r="466" spans="1:4" x14ac:dyDescent="0.25">
      <c r="A466" t="str">
        <f>"72820"</f>
        <v>72820</v>
      </c>
      <c r="B466" t="s">
        <v>463</v>
      </c>
      <c r="C466" t="str">
        <f>"21.0"</f>
        <v>21.0</v>
      </c>
      <c r="D466" t="s">
        <v>1454</v>
      </c>
    </row>
    <row r="467" spans="1:4" x14ac:dyDescent="0.25">
      <c r="A467" t="str">
        <f>"53"</f>
        <v>53</v>
      </c>
      <c r="B467" t="s">
        <v>464</v>
      </c>
      <c r="C467" t="str">
        <f>"13.6"</f>
        <v>13.6</v>
      </c>
      <c r="D467" t="s">
        <v>1454</v>
      </c>
    </row>
    <row r="468" spans="1:4" x14ac:dyDescent="0.25">
      <c r="A468" t="str">
        <f>"72423"</f>
        <v>72423</v>
      </c>
      <c r="B468" t="s">
        <v>465</v>
      </c>
      <c r="C468" t="str">
        <f>"26.2"</f>
        <v>26.2</v>
      </c>
      <c r="D468" t="s">
        <v>1454</v>
      </c>
    </row>
    <row r="469" spans="1:4" x14ac:dyDescent="0.25">
      <c r="A469" t="str">
        <f>"21080"</f>
        <v>21080</v>
      </c>
      <c r="B469" t="s">
        <v>466</v>
      </c>
      <c r="C469" t="str">
        <f>"17.5"</f>
        <v>17.5</v>
      </c>
      <c r="D469" t="s">
        <v>1454</v>
      </c>
    </row>
    <row r="470" spans="1:4" x14ac:dyDescent="0.25">
      <c r="A470" t="str">
        <f>"74373"</f>
        <v>74373</v>
      </c>
      <c r="B470" t="s">
        <v>467</v>
      </c>
      <c r="C470" t="str">
        <f>"24.5"</f>
        <v>24.5</v>
      </c>
      <c r="D470" t="s">
        <v>1454</v>
      </c>
    </row>
    <row r="471" spans="1:4" x14ac:dyDescent="0.25">
      <c r="A471" t="str">
        <f>"75233"</f>
        <v>75233</v>
      </c>
      <c r="B471" t="s">
        <v>468</v>
      </c>
      <c r="C471" t="str">
        <f>"32.6"</f>
        <v>32.6</v>
      </c>
      <c r="D471" t="s">
        <v>1454</v>
      </c>
    </row>
    <row r="472" spans="1:4" x14ac:dyDescent="0.25">
      <c r="A472" t="str">
        <f>"9184"</f>
        <v>9184</v>
      </c>
      <c r="B472" t="s">
        <v>469</v>
      </c>
      <c r="C472" t="str">
        <f>"14.1"</f>
        <v>14.1</v>
      </c>
      <c r="D472" t="s">
        <v>1454</v>
      </c>
    </row>
    <row r="473" spans="1:4" x14ac:dyDescent="0.25">
      <c r="A473" t="str">
        <f>"27152"</f>
        <v>27152</v>
      </c>
      <c r="B473" t="s">
        <v>470</v>
      </c>
      <c r="C473" t="str">
        <f>"18.0"</f>
        <v>18.0</v>
      </c>
      <c r="D473" t="s">
        <v>1454</v>
      </c>
    </row>
    <row r="474" spans="1:4" x14ac:dyDescent="0.25">
      <c r="A474" t="str">
        <f>"1005232"</f>
        <v>1005232</v>
      </c>
      <c r="B474" t="s">
        <v>471</v>
      </c>
      <c r="C474" t="str">
        <f>"22.9"</f>
        <v>22.9</v>
      </c>
      <c r="D474" t="s">
        <v>1454</v>
      </c>
    </row>
    <row r="475" spans="1:4" x14ac:dyDescent="0.25">
      <c r="A475" t="str">
        <f>"10781"</f>
        <v>10781</v>
      </c>
      <c r="B475" t="s">
        <v>472</v>
      </c>
      <c r="C475" t="str">
        <f>"19.4"</f>
        <v>19.4</v>
      </c>
      <c r="D475" t="s">
        <v>1454</v>
      </c>
    </row>
    <row r="476" spans="1:4" x14ac:dyDescent="0.25">
      <c r="A476" t="str">
        <f>"9190"</f>
        <v>9190</v>
      </c>
      <c r="B476" t="s">
        <v>473</v>
      </c>
      <c r="C476" t="str">
        <f>"22.0"</f>
        <v>22.0</v>
      </c>
      <c r="D476" t="s">
        <v>1454</v>
      </c>
    </row>
    <row r="477" spans="1:4" x14ac:dyDescent="0.25">
      <c r="A477" t="str">
        <f>"76700"</f>
        <v>76700</v>
      </c>
      <c r="B477" t="s">
        <v>474</v>
      </c>
      <c r="C477" t="str">
        <f>"27.3"</f>
        <v>27.3</v>
      </c>
      <c r="D477" t="s">
        <v>1454</v>
      </c>
    </row>
    <row r="478" spans="1:4" x14ac:dyDescent="0.25">
      <c r="A478" t="str">
        <f>"1002351"</f>
        <v>1002351</v>
      </c>
      <c r="B478" t="s">
        <v>475</v>
      </c>
      <c r="C478" t="str">
        <f>"21.9"</f>
        <v>21.9</v>
      </c>
      <c r="D478" t="s">
        <v>1454</v>
      </c>
    </row>
    <row r="479" spans="1:4" x14ac:dyDescent="0.25">
      <c r="A479" t="str">
        <f>"76702"</f>
        <v>76702</v>
      </c>
      <c r="B479" t="s">
        <v>476</v>
      </c>
      <c r="C479" t="str">
        <f>"19.9"</f>
        <v>19.9</v>
      </c>
      <c r="D479" t="s">
        <v>1454</v>
      </c>
    </row>
    <row r="480" spans="1:4" x14ac:dyDescent="0.25">
      <c r="A480" t="str">
        <f>"67495"</f>
        <v>67495</v>
      </c>
      <c r="B480" t="s">
        <v>477</v>
      </c>
      <c r="C480" t="str">
        <f>"10.6"</f>
        <v>10.6</v>
      </c>
      <c r="D480" t="s">
        <v>1454</v>
      </c>
    </row>
    <row r="481" spans="1:4" x14ac:dyDescent="0.25">
      <c r="A481" t="str">
        <f>"3173"</f>
        <v>3173</v>
      </c>
      <c r="B481" t="s">
        <v>478</v>
      </c>
      <c r="C481" t="str">
        <f>"12.5"</f>
        <v>12.5</v>
      </c>
      <c r="D481" t="s">
        <v>1454</v>
      </c>
    </row>
    <row r="482" spans="1:4" x14ac:dyDescent="0.25">
      <c r="A482" t="str">
        <f>"16730"</f>
        <v>16730</v>
      </c>
      <c r="B482" t="s">
        <v>479</v>
      </c>
      <c r="C482" t="str">
        <f>"19.6"</f>
        <v>19.6</v>
      </c>
      <c r="D482" t="s">
        <v>1454</v>
      </c>
    </row>
    <row r="483" spans="1:4" x14ac:dyDescent="0.25">
      <c r="A483" t="str">
        <f>"1007042"</f>
        <v>1007042</v>
      </c>
      <c r="B483" t="s">
        <v>480</v>
      </c>
      <c r="C483" t="str">
        <f>"12.0"</f>
        <v>12.0</v>
      </c>
      <c r="D483" t="s">
        <v>1454</v>
      </c>
    </row>
    <row r="484" spans="1:4" x14ac:dyDescent="0.25">
      <c r="A484" t="str">
        <f>"49268"</f>
        <v>49268</v>
      </c>
      <c r="B484" t="s">
        <v>481</v>
      </c>
      <c r="C484" t="str">
        <f>"16.7"</f>
        <v>16.7</v>
      </c>
      <c r="D484" t="s">
        <v>1454</v>
      </c>
    </row>
    <row r="485" spans="1:4" x14ac:dyDescent="0.25">
      <c r="A485" t="str">
        <f>"36330"</f>
        <v>36330</v>
      </c>
      <c r="B485" t="s">
        <v>482</v>
      </c>
      <c r="C485" t="str">
        <f>"16.3"</f>
        <v>16.3</v>
      </c>
      <c r="D485" t="s">
        <v>1454</v>
      </c>
    </row>
    <row r="486" spans="1:4" x14ac:dyDescent="0.25">
      <c r="A486" t="str">
        <f>"10180"</f>
        <v>10180</v>
      </c>
      <c r="B486" t="s">
        <v>483</v>
      </c>
      <c r="C486" t="str">
        <f>"32.0"</f>
        <v>32.0</v>
      </c>
      <c r="D486" t="s">
        <v>1454</v>
      </c>
    </row>
    <row r="487" spans="1:4" x14ac:dyDescent="0.25">
      <c r="A487" t="str">
        <f>"60788"</f>
        <v>60788</v>
      </c>
      <c r="B487" t="s">
        <v>484</v>
      </c>
      <c r="C487" t="str">
        <f>"12.7"</f>
        <v>12.7</v>
      </c>
      <c r="D487" t="s">
        <v>1454</v>
      </c>
    </row>
    <row r="488" spans="1:4" x14ac:dyDescent="0.25">
      <c r="A488" t="str">
        <f>"73251"</f>
        <v>73251</v>
      </c>
      <c r="B488" t="s">
        <v>485</v>
      </c>
      <c r="C488" t="str">
        <f>"8.1"</f>
        <v>8.1</v>
      </c>
      <c r="D488" t="s">
        <v>1454</v>
      </c>
    </row>
    <row r="489" spans="1:4" x14ac:dyDescent="0.25">
      <c r="A489" t="str">
        <f>"75393"</f>
        <v>75393</v>
      </c>
      <c r="B489" t="s">
        <v>486</v>
      </c>
      <c r="C489" t="str">
        <f>"7.8"</f>
        <v>7.8</v>
      </c>
      <c r="D489" t="s">
        <v>1454</v>
      </c>
    </row>
    <row r="490" spans="1:4" x14ac:dyDescent="0.25">
      <c r="A490" t="str">
        <f>"9204"</f>
        <v>9204</v>
      </c>
      <c r="B490" t="s">
        <v>487</v>
      </c>
      <c r="C490" t="str">
        <f>"16.4"</f>
        <v>16.4</v>
      </c>
      <c r="D490" t="s">
        <v>1454</v>
      </c>
    </row>
    <row r="491" spans="1:4" x14ac:dyDescent="0.25">
      <c r="A491" t="str">
        <f>"66715"</f>
        <v>66715</v>
      </c>
      <c r="B491" t="s">
        <v>488</v>
      </c>
      <c r="C491" t="str">
        <f>"8.8"</f>
        <v>8.8</v>
      </c>
      <c r="D491" t="s">
        <v>1454</v>
      </c>
    </row>
    <row r="492" spans="1:4" x14ac:dyDescent="0.25">
      <c r="A492" t="str">
        <f>"9205"</f>
        <v>9205</v>
      </c>
      <c r="B492" t="s">
        <v>489</v>
      </c>
      <c r="C492" t="str">
        <f>"17.9"</f>
        <v>17.9</v>
      </c>
      <c r="D492" t="s">
        <v>1454</v>
      </c>
    </row>
    <row r="493" spans="1:4" x14ac:dyDescent="0.25">
      <c r="A493" t="str">
        <f>"9207"</f>
        <v>9207</v>
      </c>
      <c r="B493" t="s">
        <v>490</v>
      </c>
      <c r="C493" t="str">
        <f>"22.7"</f>
        <v>22.7</v>
      </c>
      <c r="D493" t="s">
        <v>1454</v>
      </c>
    </row>
    <row r="494" spans="1:4" x14ac:dyDescent="0.25">
      <c r="A494" t="str">
        <f>"9208"</f>
        <v>9208</v>
      </c>
      <c r="B494" t="s">
        <v>491</v>
      </c>
      <c r="C494" t="str">
        <f>"13.7"</f>
        <v>13.7</v>
      </c>
      <c r="D494" t="s">
        <v>1454</v>
      </c>
    </row>
    <row r="495" spans="1:4" x14ac:dyDescent="0.25">
      <c r="A495" t="str">
        <f>"66403"</f>
        <v>66403</v>
      </c>
      <c r="B495" t="s">
        <v>492</v>
      </c>
      <c r="C495" t="str">
        <f>"8.7"</f>
        <v>8.7</v>
      </c>
      <c r="D495" t="s">
        <v>1454</v>
      </c>
    </row>
    <row r="496" spans="1:4" x14ac:dyDescent="0.25">
      <c r="A496" t="str">
        <f>"9210"</f>
        <v>9210</v>
      </c>
      <c r="B496" t="s">
        <v>493</v>
      </c>
      <c r="C496" t="str">
        <f>"28.9"</f>
        <v>28.9</v>
      </c>
      <c r="D496" t="s">
        <v>1454</v>
      </c>
    </row>
    <row r="497" spans="1:4" x14ac:dyDescent="0.25">
      <c r="A497" t="str">
        <f>"9217"</f>
        <v>9217</v>
      </c>
      <c r="B497" t="s">
        <v>494</v>
      </c>
      <c r="C497" t="str">
        <f>"30.4"</f>
        <v>30.4</v>
      </c>
      <c r="D497" t="s">
        <v>1454</v>
      </c>
    </row>
    <row r="498" spans="1:4" x14ac:dyDescent="0.25">
      <c r="A498" t="str">
        <f>"43115"</f>
        <v>43115</v>
      </c>
      <c r="B498" t="s">
        <v>495</v>
      </c>
      <c r="C498" t="str">
        <f>"15.6"</f>
        <v>15.6</v>
      </c>
      <c r="D498" t="s">
        <v>1454</v>
      </c>
    </row>
    <row r="499" spans="1:4" x14ac:dyDescent="0.25">
      <c r="A499" t="str">
        <f>"66115"</f>
        <v>66115</v>
      </c>
      <c r="B499" t="s">
        <v>496</v>
      </c>
      <c r="C499" t="str">
        <f>"14.3"</f>
        <v>14.3</v>
      </c>
      <c r="D499" t="s">
        <v>1454</v>
      </c>
    </row>
    <row r="500" spans="1:4" x14ac:dyDescent="0.25">
      <c r="A500" t="str">
        <f>"1008071"</f>
        <v>1008071</v>
      </c>
      <c r="B500" t="s">
        <v>497</v>
      </c>
      <c r="C500" t="str">
        <f>"16.1"</f>
        <v>16.1</v>
      </c>
      <c r="D500" t="s">
        <v>1454</v>
      </c>
    </row>
    <row r="501" spans="1:4" x14ac:dyDescent="0.25">
      <c r="A501" t="str">
        <f>"1008937"</f>
        <v>1008937</v>
      </c>
      <c r="B501" t="s">
        <v>498</v>
      </c>
      <c r="C501" t="str">
        <f>"14.1"</f>
        <v>14.1</v>
      </c>
      <c r="D501" t="s">
        <v>1454</v>
      </c>
    </row>
    <row r="502" spans="1:4" x14ac:dyDescent="0.25">
      <c r="A502" t="str">
        <f>"1000759"</f>
        <v>1000759</v>
      </c>
      <c r="B502" t="s">
        <v>499</v>
      </c>
      <c r="C502" t="str">
        <f>"18.1"</f>
        <v>18.1</v>
      </c>
      <c r="D502" t="s">
        <v>1454</v>
      </c>
    </row>
    <row r="503" spans="1:4" x14ac:dyDescent="0.25">
      <c r="A503" t="str">
        <f>"1007190"</f>
        <v>1007190</v>
      </c>
      <c r="B503" t="s">
        <v>500</v>
      </c>
      <c r="C503" t="str">
        <f>"24.6"</f>
        <v>24.6</v>
      </c>
      <c r="D503" t="s">
        <v>1454</v>
      </c>
    </row>
    <row r="504" spans="1:4" x14ac:dyDescent="0.25">
      <c r="A504" t="str">
        <f>"71295"</f>
        <v>71295</v>
      </c>
      <c r="B504" t="s">
        <v>501</v>
      </c>
      <c r="C504" t="str">
        <f>"15.2"</f>
        <v>15.2</v>
      </c>
      <c r="D504" t="s">
        <v>1454</v>
      </c>
    </row>
    <row r="505" spans="1:4" x14ac:dyDescent="0.25">
      <c r="A505" t="str">
        <f>"9221"</f>
        <v>9221</v>
      </c>
      <c r="B505" t="s">
        <v>502</v>
      </c>
      <c r="C505" t="str">
        <f>"12.9"</f>
        <v>12.9</v>
      </c>
      <c r="D505" t="s">
        <v>1454</v>
      </c>
    </row>
    <row r="506" spans="1:4" x14ac:dyDescent="0.25">
      <c r="A506" t="str">
        <f>"19637"</f>
        <v>19637</v>
      </c>
      <c r="B506" t="s">
        <v>503</v>
      </c>
      <c r="C506" t="str">
        <f>"7.7000"</f>
        <v>7.7000</v>
      </c>
      <c r="D506" t="s">
        <v>1454</v>
      </c>
    </row>
    <row r="507" spans="1:4" x14ac:dyDescent="0.25">
      <c r="A507" t="str">
        <f>"1001289"</f>
        <v>1001289</v>
      </c>
      <c r="B507" t="s">
        <v>504</v>
      </c>
      <c r="C507" t="str">
        <f>"10.3"</f>
        <v>10.3</v>
      </c>
      <c r="D507" t="s">
        <v>1454</v>
      </c>
    </row>
    <row r="508" spans="1:4" x14ac:dyDescent="0.25">
      <c r="A508" t="str">
        <f>"1001293"</f>
        <v>1001293</v>
      </c>
      <c r="B508" t="s">
        <v>505</v>
      </c>
      <c r="C508" t="str">
        <f>"21.2"</f>
        <v>21.2</v>
      </c>
      <c r="D508" t="s">
        <v>1454</v>
      </c>
    </row>
    <row r="509" spans="1:4" x14ac:dyDescent="0.25">
      <c r="A509" t="str">
        <f>"24869"</f>
        <v>24869</v>
      </c>
      <c r="B509" t="s">
        <v>506</v>
      </c>
      <c r="C509" t="str">
        <f>"18.5"</f>
        <v>18.5</v>
      </c>
      <c r="D509" t="s">
        <v>1454</v>
      </c>
    </row>
    <row r="510" spans="1:4" x14ac:dyDescent="0.25">
      <c r="A510" t="str">
        <f>"24870"</f>
        <v>24870</v>
      </c>
      <c r="B510" t="s">
        <v>507</v>
      </c>
      <c r="C510" t="str">
        <f>"6.0"</f>
        <v>6.0</v>
      </c>
      <c r="D510" t="s">
        <v>1454</v>
      </c>
    </row>
    <row r="511" spans="1:4" x14ac:dyDescent="0.25">
      <c r="A511" t="str">
        <f>"4229"</f>
        <v>4229</v>
      </c>
      <c r="B511" t="s">
        <v>508</v>
      </c>
      <c r="C511" t="str">
        <f>"10.1"</f>
        <v>10.1</v>
      </c>
      <c r="D511" t="s">
        <v>1454</v>
      </c>
    </row>
    <row r="512" spans="1:4" x14ac:dyDescent="0.25">
      <c r="A512" t="str">
        <f>"60678"</f>
        <v>60678</v>
      </c>
      <c r="B512" t="s">
        <v>509</v>
      </c>
      <c r="C512" t="str">
        <f>"16.0"</f>
        <v>16.0</v>
      </c>
      <c r="D512" t="s">
        <v>1454</v>
      </c>
    </row>
    <row r="513" spans="1:4" x14ac:dyDescent="0.25">
      <c r="A513" t="str">
        <f>"50304"</f>
        <v>50304</v>
      </c>
      <c r="B513" t="s">
        <v>510</v>
      </c>
      <c r="C513" t="str">
        <f>"15.0"</f>
        <v>15.0</v>
      </c>
      <c r="D513" t="s">
        <v>1454</v>
      </c>
    </row>
    <row r="514" spans="1:4" x14ac:dyDescent="0.25">
      <c r="A514" t="str">
        <f>"9223"</f>
        <v>9223</v>
      </c>
      <c r="B514" t="s">
        <v>511</v>
      </c>
      <c r="C514" t="str">
        <f>"28.9"</f>
        <v>28.9</v>
      </c>
      <c r="D514" t="s">
        <v>1454</v>
      </c>
    </row>
    <row r="515" spans="1:4" x14ac:dyDescent="0.25">
      <c r="A515" t="str">
        <f>"4453"</f>
        <v>4453</v>
      </c>
      <c r="B515" t="s">
        <v>512</v>
      </c>
      <c r="C515" t="str">
        <f>"11.8"</f>
        <v>11.8</v>
      </c>
      <c r="D515" t="s">
        <v>1454</v>
      </c>
    </row>
    <row r="516" spans="1:4" x14ac:dyDescent="0.25">
      <c r="A516" t="str">
        <f>"9224"</f>
        <v>9224</v>
      </c>
      <c r="B516" t="s">
        <v>513</v>
      </c>
      <c r="C516" t="str">
        <f>"21.0"</f>
        <v>21.0</v>
      </c>
      <c r="D516" t="s">
        <v>1454</v>
      </c>
    </row>
    <row r="517" spans="1:4" x14ac:dyDescent="0.25">
      <c r="A517" t="str">
        <f>"73706"</f>
        <v>73706</v>
      </c>
      <c r="B517" t="s">
        <v>514</v>
      </c>
      <c r="C517" t="str">
        <f>"14.8"</f>
        <v>14.8</v>
      </c>
      <c r="D517" t="s">
        <v>1454</v>
      </c>
    </row>
    <row r="518" spans="1:4" x14ac:dyDescent="0.25">
      <c r="A518" t="str">
        <f>"9226"</f>
        <v>9226</v>
      </c>
      <c r="B518" t="s">
        <v>515</v>
      </c>
      <c r="C518" t="str">
        <f>"14.8"</f>
        <v>14.8</v>
      </c>
      <c r="D518" t="s">
        <v>1454</v>
      </c>
    </row>
    <row r="519" spans="1:4" x14ac:dyDescent="0.25">
      <c r="A519" t="str">
        <f>"9228"</f>
        <v>9228</v>
      </c>
      <c r="B519" t="s">
        <v>516</v>
      </c>
      <c r="C519" t="str">
        <f>"13.9"</f>
        <v>13.9</v>
      </c>
      <c r="D519" t="s">
        <v>1454</v>
      </c>
    </row>
    <row r="520" spans="1:4" x14ac:dyDescent="0.25">
      <c r="A520" t="str">
        <f>"1002107"</f>
        <v>1002107</v>
      </c>
      <c r="B520" t="s">
        <v>517</v>
      </c>
      <c r="C520" t="str">
        <f>"18.0"</f>
        <v>18.0</v>
      </c>
      <c r="D520" t="s">
        <v>1454</v>
      </c>
    </row>
    <row r="521" spans="1:4" x14ac:dyDescent="0.25">
      <c r="A521" t="str">
        <f>"66257"</f>
        <v>66257</v>
      </c>
      <c r="B521" t="s">
        <v>518</v>
      </c>
      <c r="C521" t="str">
        <f>"13.8"</f>
        <v>13.8</v>
      </c>
      <c r="D521" t="s">
        <v>1454</v>
      </c>
    </row>
    <row r="522" spans="1:4" x14ac:dyDescent="0.25">
      <c r="A522" t="str">
        <f>"9233"</f>
        <v>9233</v>
      </c>
      <c r="B522" t="s">
        <v>519</v>
      </c>
      <c r="C522" t="str">
        <f>"22.4"</f>
        <v>22.4</v>
      </c>
      <c r="D522" t="s">
        <v>1454</v>
      </c>
    </row>
    <row r="523" spans="1:4" x14ac:dyDescent="0.25">
      <c r="A523" t="str">
        <f>"77568"</f>
        <v>77568</v>
      </c>
      <c r="B523" t="s">
        <v>520</v>
      </c>
      <c r="C523" t="str">
        <f>"19.6"</f>
        <v>19.6</v>
      </c>
      <c r="D523" t="s">
        <v>1454</v>
      </c>
    </row>
    <row r="524" spans="1:4" x14ac:dyDescent="0.25">
      <c r="A524" t="str">
        <f>"46624"</f>
        <v>46624</v>
      </c>
      <c r="B524" t="s">
        <v>521</v>
      </c>
      <c r="C524" t="str">
        <f>"20.7"</f>
        <v>20.7</v>
      </c>
      <c r="D524" t="s">
        <v>1454</v>
      </c>
    </row>
    <row r="525" spans="1:4" x14ac:dyDescent="0.25">
      <c r="A525" t="str">
        <f>"68681"</f>
        <v>68681</v>
      </c>
      <c r="B525" t="s">
        <v>522</v>
      </c>
      <c r="C525" t="str">
        <f>"6.6"</f>
        <v>6.6</v>
      </c>
      <c r="D525" t="s">
        <v>1454</v>
      </c>
    </row>
    <row r="526" spans="1:4" x14ac:dyDescent="0.25">
      <c r="A526" t="str">
        <f>"1001161"</f>
        <v>1001161</v>
      </c>
      <c r="B526" t="s">
        <v>523</v>
      </c>
      <c r="C526" t="str">
        <f>"4.2"</f>
        <v>4.2</v>
      </c>
      <c r="D526" t="s">
        <v>1454</v>
      </c>
    </row>
    <row r="527" spans="1:4" x14ac:dyDescent="0.25">
      <c r="A527" t="str">
        <f>"9240"</f>
        <v>9240</v>
      </c>
      <c r="B527" t="s">
        <v>524</v>
      </c>
      <c r="C527" t="str">
        <f>"30.9"</f>
        <v>30.9</v>
      </c>
      <c r="D527" t="s">
        <v>1454</v>
      </c>
    </row>
    <row r="528" spans="1:4" x14ac:dyDescent="0.25">
      <c r="A528" t="str">
        <f>"9241"</f>
        <v>9241</v>
      </c>
      <c r="B528" t="s">
        <v>525</v>
      </c>
      <c r="C528" t="str">
        <f>"30.7"</f>
        <v>30.7</v>
      </c>
      <c r="D528" t="s">
        <v>1454</v>
      </c>
    </row>
    <row r="529" spans="1:4" x14ac:dyDescent="0.25">
      <c r="A529" t="str">
        <f>"67953"</f>
        <v>67953</v>
      </c>
      <c r="B529" t="s">
        <v>526</v>
      </c>
      <c r="C529" t="str">
        <f>"20.6"</f>
        <v>20.6</v>
      </c>
      <c r="D529" t="s">
        <v>1454</v>
      </c>
    </row>
    <row r="530" spans="1:4" x14ac:dyDescent="0.25">
      <c r="A530" t="str">
        <f>"23026"</f>
        <v>23026</v>
      </c>
      <c r="B530" t="s">
        <v>527</v>
      </c>
      <c r="C530" t="str">
        <f>"15.5"</f>
        <v>15.5</v>
      </c>
      <c r="D530" t="s">
        <v>1454</v>
      </c>
    </row>
    <row r="531" spans="1:4" x14ac:dyDescent="0.25">
      <c r="A531" t="str">
        <f>"9244"</f>
        <v>9244</v>
      </c>
      <c r="B531" t="s">
        <v>528</v>
      </c>
      <c r="C531" t="str">
        <f>"10.9"</f>
        <v>10.9</v>
      </c>
      <c r="D531" t="s">
        <v>1454</v>
      </c>
    </row>
    <row r="532" spans="1:4" x14ac:dyDescent="0.25">
      <c r="A532" t="str">
        <f>"9249"</f>
        <v>9249</v>
      </c>
      <c r="B532" t="s">
        <v>529</v>
      </c>
      <c r="C532" t="str">
        <f>"25.1"</f>
        <v>25.1</v>
      </c>
      <c r="D532" t="s">
        <v>1454</v>
      </c>
    </row>
    <row r="533" spans="1:4" x14ac:dyDescent="0.25">
      <c r="A533" t="str">
        <f>"1009998"</f>
        <v>1009998</v>
      </c>
      <c r="B533" t="s">
        <v>530</v>
      </c>
      <c r="C533" t="str">
        <f>"15.4"</f>
        <v>15.4</v>
      </c>
      <c r="D533" t="s">
        <v>1454</v>
      </c>
    </row>
    <row r="534" spans="1:4" x14ac:dyDescent="0.25">
      <c r="A534" t="str">
        <f>"9255"</f>
        <v>9255</v>
      </c>
      <c r="B534" t="s">
        <v>531</v>
      </c>
      <c r="C534" t="str">
        <f>"18.0"</f>
        <v>18.0</v>
      </c>
      <c r="D534" t="s">
        <v>1454</v>
      </c>
    </row>
    <row r="535" spans="1:4" x14ac:dyDescent="0.25">
      <c r="A535" t="str">
        <f>"9256"</f>
        <v>9256</v>
      </c>
      <c r="B535" t="s">
        <v>532</v>
      </c>
      <c r="C535" t="str">
        <f>"12.6"</f>
        <v>12.6</v>
      </c>
      <c r="D535" t="s">
        <v>1454</v>
      </c>
    </row>
    <row r="536" spans="1:4" x14ac:dyDescent="0.25">
      <c r="A536" t="str">
        <f>"76905"</f>
        <v>76905</v>
      </c>
      <c r="B536" t="s">
        <v>533</v>
      </c>
      <c r="C536" t="str">
        <f>"16.6"</f>
        <v>16.6</v>
      </c>
      <c r="D536" t="s">
        <v>1454</v>
      </c>
    </row>
    <row r="537" spans="1:4" x14ac:dyDescent="0.25">
      <c r="A537" t="str">
        <f>"1008935"</f>
        <v>1008935</v>
      </c>
      <c r="B537" t="s">
        <v>534</v>
      </c>
      <c r="C537" t="str">
        <f>"19.7"</f>
        <v>19.7</v>
      </c>
      <c r="D537" t="s">
        <v>1454</v>
      </c>
    </row>
    <row r="538" spans="1:4" x14ac:dyDescent="0.25">
      <c r="A538" t="str">
        <f>"38561"</f>
        <v>38561</v>
      </c>
      <c r="B538" t="s">
        <v>535</v>
      </c>
      <c r="C538" t="str">
        <f>"7.3"</f>
        <v>7.3</v>
      </c>
      <c r="D538" t="s">
        <v>1454</v>
      </c>
    </row>
    <row r="539" spans="1:4" x14ac:dyDescent="0.25">
      <c r="A539" t="str">
        <f>"18845"</f>
        <v>18845</v>
      </c>
      <c r="B539" t="s">
        <v>536</v>
      </c>
      <c r="C539" t="str">
        <f>"13.7"</f>
        <v>13.7</v>
      </c>
      <c r="D539" t="s">
        <v>1454</v>
      </c>
    </row>
    <row r="540" spans="1:4" x14ac:dyDescent="0.25">
      <c r="A540" t="str">
        <f>"20892"</f>
        <v>20892</v>
      </c>
      <c r="B540" t="s">
        <v>537</v>
      </c>
      <c r="C540" t="str">
        <f>"14.6"</f>
        <v>14.6</v>
      </c>
      <c r="D540" t="s">
        <v>1454</v>
      </c>
    </row>
    <row r="541" spans="1:4" x14ac:dyDescent="0.25">
      <c r="A541" t="str">
        <f>"75230"</f>
        <v>75230</v>
      </c>
      <c r="B541" t="s">
        <v>538</v>
      </c>
      <c r="C541" t="str">
        <f>"19.1"</f>
        <v>19.1</v>
      </c>
      <c r="D541" t="s">
        <v>1454</v>
      </c>
    </row>
    <row r="542" spans="1:4" x14ac:dyDescent="0.25">
      <c r="A542" t="str">
        <f>"10672"</f>
        <v>10672</v>
      </c>
      <c r="B542" t="s">
        <v>539</v>
      </c>
      <c r="C542" t="str">
        <f>"15.6"</f>
        <v>15.6</v>
      </c>
      <c r="D542" t="s">
        <v>1454</v>
      </c>
    </row>
    <row r="543" spans="1:4" x14ac:dyDescent="0.25">
      <c r="A543" t="str">
        <f>"9265"</f>
        <v>9265</v>
      </c>
      <c r="B543" t="s">
        <v>540</v>
      </c>
      <c r="C543" t="str">
        <f>"22.9"</f>
        <v>22.9</v>
      </c>
      <c r="D543" t="s">
        <v>1454</v>
      </c>
    </row>
    <row r="544" spans="1:4" x14ac:dyDescent="0.25">
      <c r="A544" t="str">
        <f>"32687"</f>
        <v>32687</v>
      </c>
      <c r="B544" t="s">
        <v>541</v>
      </c>
      <c r="C544" t="str">
        <f>"15.8"</f>
        <v>15.8</v>
      </c>
      <c r="D544" t="s">
        <v>1454</v>
      </c>
    </row>
    <row r="545" spans="1:4" x14ac:dyDescent="0.25">
      <c r="A545" t="str">
        <f>"1011932"</f>
        <v>1011932</v>
      </c>
      <c r="B545" t="s">
        <v>1238</v>
      </c>
      <c r="C545" t="s">
        <v>1</v>
      </c>
      <c r="D545" t="s">
        <v>1454</v>
      </c>
    </row>
    <row r="546" spans="1:4" x14ac:dyDescent="0.25">
      <c r="A546" t="str">
        <f>"49713"</f>
        <v>49713</v>
      </c>
      <c r="B546" t="s">
        <v>542</v>
      </c>
      <c r="C546" t="str">
        <f>"9.3"</f>
        <v>9.3</v>
      </c>
      <c r="D546" t="s">
        <v>1454</v>
      </c>
    </row>
    <row r="547" spans="1:4" x14ac:dyDescent="0.25">
      <c r="A547" t="str">
        <f>"3589"</f>
        <v>3589</v>
      </c>
      <c r="B547" t="s">
        <v>543</v>
      </c>
      <c r="C547" t="str">
        <f>"18.0"</f>
        <v>18.0</v>
      </c>
      <c r="D547" t="s">
        <v>1454</v>
      </c>
    </row>
    <row r="548" spans="1:4" x14ac:dyDescent="0.25">
      <c r="A548" t="str">
        <f>"46325"</f>
        <v>46325</v>
      </c>
      <c r="B548" t="s">
        <v>544</v>
      </c>
      <c r="C548" t="str">
        <f>"8.8"</f>
        <v>8.8</v>
      </c>
      <c r="D548" t="s">
        <v>1454</v>
      </c>
    </row>
    <row r="549" spans="1:4" x14ac:dyDescent="0.25">
      <c r="A549" t="str">
        <f>"1000421"</f>
        <v>1000421</v>
      </c>
      <c r="B549" t="s">
        <v>545</v>
      </c>
      <c r="C549" t="str">
        <f>"16.9"</f>
        <v>16.9</v>
      </c>
      <c r="D549" t="s">
        <v>1454</v>
      </c>
    </row>
    <row r="550" spans="1:4" x14ac:dyDescent="0.25">
      <c r="A550" t="str">
        <f>"9270"</f>
        <v>9270</v>
      </c>
      <c r="B550" t="s">
        <v>546</v>
      </c>
      <c r="C550" t="str">
        <f>"26.3"</f>
        <v>26.3</v>
      </c>
      <c r="D550" t="s">
        <v>1454</v>
      </c>
    </row>
    <row r="551" spans="1:4" x14ac:dyDescent="0.25">
      <c r="A551" t="str">
        <f>"69917"</f>
        <v>69917</v>
      </c>
      <c r="B551" t="s">
        <v>547</v>
      </c>
      <c r="C551" t="str">
        <f>"28.0"</f>
        <v>28.0</v>
      </c>
      <c r="D551" t="s">
        <v>1454</v>
      </c>
    </row>
    <row r="552" spans="1:4" x14ac:dyDescent="0.25">
      <c r="A552" t="str">
        <f>"9273"</f>
        <v>9273</v>
      </c>
      <c r="B552" t="s">
        <v>548</v>
      </c>
      <c r="C552" t="str">
        <f>"14.8"</f>
        <v>14.8</v>
      </c>
      <c r="D552" t="s">
        <v>1454</v>
      </c>
    </row>
    <row r="553" spans="1:4" x14ac:dyDescent="0.25">
      <c r="A553" t="str">
        <f>"46952"</f>
        <v>46952</v>
      </c>
      <c r="B553" t="s">
        <v>549</v>
      </c>
      <c r="C553" t="str">
        <f>"17.2"</f>
        <v>17.2</v>
      </c>
      <c r="D553" t="s">
        <v>1454</v>
      </c>
    </row>
    <row r="554" spans="1:4" x14ac:dyDescent="0.25">
      <c r="A554" t="str">
        <f>"9275"</f>
        <v>9275</v>
      </c>
      <c r="B554" t="s">
        <v>550</v>
      </c>
      <c r="C554" t="str">
        <f>"24.0"</f>
        <v>24.0</v>
      </c>
      <c r="D554" t="s">
        <v>1454</v>
      </c>
    </row>
    <row r="555" spans="1:4" x14ac:dyDescent="0.25">
      <c r="A555" t="str">
        <f>"27213"</f>
        <v>27213</v>
      </c>
      <c r="B555" t="s">
        <v>551</v>
      </c>
      <c r="C555" t="str">
        <f>"12.0"</f>
        <v>12.0</v>
      </c>
      <c r="D555" t="s">
        <v>1454</v>
      </c>
    </row>
    <row r="556" spans="1:4" x14ac:dyDescent="0.25">
      <c r="A556" t="str">
        <f>"42212"</f>
        <v>42212</v>
      </c>
      <c r="B556" t="s">
        <v>552</v>
      </c>
      <c r="C556" t="str">
        <f>"15.8"</f>
        <v>15.8</v>
      </c>
      <c r="D556" t="s">
        <v>1454</v>
      </c>
    </row>
    <row r="557" spans="1:4" x14ac:dyDescent="0.25">
      <c r="A557" t="str">
        <f>"36679"</f>
        <v>36679</v>
      </c>
      <c r="B557" t="s">
        <v>553</v>
      </c>
      <c r="C557" t="str">
        <f>"20.2"</f>
        <v>20.2</v>
      </c>
      <c r="D557" t="s">
        <v>1454</v>
      </c>
    </row>
    <row r="558" spans="1:4" x14ac:dyDescent="0.25">
      <c r="A558" t="str">
        <f>"1008933"</f>
        <v>1008933</v>
      </c>
      <c r="B558" t="s">
        <v>554</v>
      </c>
      <c r="C558" t="s">
        <v>1</v>
      </c>
      <c r="D558" t="s">
        <v>1454</v>
      </c>
    </row>
    <row r="559" spans="1:4" x14ac:dyDescent="0.25">
      <c r="A559" t="str">
        <f>"72268"</f>
        <v>72268</v>
      </c>
      <c r="B559" t="s">
        <v>555</v>
      </c>
      <c r="C559" t="str">
        <f>"20.5"</f>
        <v>20.5</v>
      </c>
      <c r="D559" t="s">
        <v>1454</v>
      </c>
    </row>
    <row r="560" spans="1:4" x14ac:dyDescent="0.25">
      <c r="A560" t="str">
        <f>"9279"</f>
        <v>9279</v>
      </c>
      <c r="B560" t="s">
        <v>556</v>
      </c>
      <c r="C560" t="str">
        <f>"25.0"</f>
        <v>25.0</v>
      </c>
      <c r="D560" t="s">
        <v>1454</v>
      </c>
    </row>
    <row r="561" spans="1:4" x14ac:dyDescent="0.25">
      <c r="A561" t="str">
        <f>"46625"</f>
        <v>46625</v>
      </c>
      <c r="B561" t="s">
        <v>557</v>
      </c>
      <c r="C561" t="str">
        <f>"13.8"</f>
        <v>13.8</v>
      </c>
      <c r="D561" t="s">
        <v>1454</v>
      </c>
    </row>
    <row r="562" spans="1:4" x14ac:dyDescent="0.25">
      <c r="A562" t="str">
        <f>"80185"</f>
        <v>80185</v>
      </c>
      <c r="B562" t="s">
        <v>558</v>
      </c>
      <c r="C562" t="str">
        <f>"13.7"</f>
        <v>13.7</v>
      </c>
      <c r="D562" t="s">
        <v>1454</v>
      </c>
    </row>
    <row r="563" spans="1:4" x14ac:dyDescent="0.25">
      <c r="A563" t="str">
        <f>"12998"</f>
        <v>12998</v>
      </c>
      <c r="B563" t="s">
        <v>559</v>
      </c>
      <c r="C563" t="str">
        <f>"12.6"</f>
        <v>12.6</v>
      </c>
      <c r="D563" t="s">
        <v>1454</v>
      </c>
    </row>
    <row r="564" spans="1:4" x14ac:dyDescent="0.25">
      <c r="A564" t="str">
        <f>"27215"</f>
        <v>27215</v>
      </c>
      <c r="B564" t="s">
        <v>560</v>
      </c>
      <c r="C564" t="str">
        <f>"27.6"</f>
        <v>27.6</v>
      </c>
      <c r="D564" t="s">
        <v>1454</v>
      </c>
    </row>
    <row r="565" spans="1:4" x14ac:dyDescent="0.25">
      <c r="A565" t="str">
        <f>"50661"</f>
        <v>50661</v>
      </c>
      <c r="B565" t="s">
        <v>561</v>
      </c>
      <c r="C565" t="str">
        <f>"19.4"</f>
        <v>19.4</v>
      </c>
      <c r="D565" t="s">
        <v>1454</v>
      </c>
    </row>
    <row r="566" spans="1:4" x14ac:dyDescent="0.25">
      <c r="A566" t="str">
        <f>"75421"</f>
        <v>75421</v>
      </c>
      <c r="B566" t="s">
        <v>562</v>
      </c>
      <c r="C566" t="str">
        <f>"24.7"</f>
        <v>24.7</v>
      </c>
      <c r="D566" t="s">
        <v>1454</v>
      </c>
    </row>
    <row r="567" spans="1:4" x14ac:dyDescent="0.25">
      <c r="A567" t="str">
        <f>"32146"</f>
        <v>32146</v>
      </c>
      <c r="B567" t="s">
        <v>563</v>
      </c>
      <c r="C567" t="str">
        <f>"15.1"</f>
        <v>15.1</v>
      </c>
      <c r="D567" t="s">
        <v>1454</v>
      </c>
    </row>
    <row r="568" spans="1:4" x14ac:dyDescent="0.25">
      <c r="A568" t="str">
        <f>"1006724"</f>
        <v>1006724</v>
      </c>
      <c r="B568" t="s">
        <v>564</v>
      </c>
      <c r="C568" t="str">
        <f>"24.7"</f>
        <v>24.7</v>
      </c>
      <c r="D568" t="s">
        <v>1454</v>
      </c>
    </row>
    <row r="569" spans="1:4" x14ac:dyDescent="0.25">
      <c r="A569" t="str">
        <f>"9283"</f>
        <v>9283</v>
      </c>
      <c r="B569" t="s">
        <v>565</v>
      </c>
      <c r="C569" t="str">
        <f>"12.7"</f>
        <v>12.7</v>
      </c>
      <c r="D569" t="s">
        <v>1454</v>
      </c>
    </row>
    <row r="570" spans="1:4" x14ac:dyDescent="0.25">
      <c r="A570" t="str">
        <f>"27216"</f>
        <v>27216</v>
      </c>
      <c r="B570" t="s">
        <v>566</v>
      </c>
      <c r="C570" t="str">
        <f>"15.6"</f>
        <v>15.6</v>
      </c>
      <c r="D570" t="s">
        <v>1454</v>
      </c>
    </row>
    <row r="571" spans="1:4" x14ac:dyDescent="0.25">
      <c r="A571" t="str">
        <f>"76482"</f>
        <v>76482</v>
      </c>
      <c r="B571" t="s">
        <v>567</v>
      </c>
      <c r="C571" t="str">
        <f>"20.6"</f>
        <v>20.6</v>
      </c>
      <c r="D571" t="s">
        <v>1454</v>
      </c>
    </row>
    <row r="572" spans="1:4" x14ac:dyDescent="0.25">
      <c r="A572" t="str">
        <f>"1007193"</f>
        <v>1007193</v>
      </c>
      <c r="B572" t="s">
        <v>568</v>
      </c>
      <c r="C572" t="str">
        <f>"19.5"</f>
        <v>19.5</v>
      </c>
      <c r="D572" t="s">
        <v>1454</v>
      </c>
    </row>
    <row r="573" spans="1:4" x14ac:dyDescent="0.25">
      <c r="A573" t="str">
        <f>"9289"</f>
        <v>9289</v>
      </c>
      <c r="B573" t="s">
        <v>569</v>
      </c>
      <c r="C573" t="str">
        <f>"13.6"</f>
        <v>13.6</v>
      </c>
      <c r="D573" t="s">
        <v>1454</v>
      </c>
    </row>
    <row r="574" spans="1:4" x14ac:dyDescent="0.25">
      <c r="A574" t="str">
        <f>"70137"</f>
        <v>70137</v>
      </c>
      <c r="B574" t="s">
        <v>570</v>
      </c>
      <c r="C574" t="str">
        <f>"9.2"</f>
        <v>9.2</v>
      </c>
      <c r="D574" t="s">
        <v>1454</v>
      </c>
    </row>
    <row r="575" spans="1:4" x14ac:dyDescent="0.25">
      <c r="A575" t="str">
        <f>"9294"</f>
        <v>9294</v>
      </c>
      <c r="B575" t="s">
        <v>571</v>
      </c>
      <c r="C575" t="str">
        <f>"21.2"</f>
        <v>21.2</v>
      </c>
      <c r="D575" t="s">
        <v>1454</v>
      </c>
    </row>
    <row r="576" spans="1:4" x14ac:dyDescent="0.25">
      <c r="A576" t="str">
        <f>"1002346"</f>
        <v>1002346</v>
      </c>
      <c r="B576" t="s">
        <v>572</v>
      </c>
      <c r="C576" t="str">
        <f>"10.5"</f>
        <v>10.5</v>
      </c>
      <c r="D576" t="s">
        <v>1454</v>
      </c>
    </row>
    <row r="577" spans="1:4" x14ac:dyDescent="0.25">
      <c r="A577" t="str">
        <f>"10434"</f>
        <v>10434</v>
      </c>
      <c r="B577" t="s">
        <v>573</v>
      </c>
      <c r="C577" t="str">
        <f>"23.0"</f>
        <v>23.0</v>
      </c>
      <c r="D577" t="s">
        <v>1454</v>
      </c>
    </row>
    <row r="578" spans="1:4" x14ac:dyDescent="0.25">
      <c r="A578" t="str">
        <f>"1009548"</f>
        <v>1009548</v>
      </c>
      <c r="B578" t="s">
        <v>574</v>
      </c>
      <c r="C578" t="str">
        <f>"17.8"</f>
        <v>17.8</v>
      </c>
      <c r="D578" t="s">
        <v>1454</v>
      </c>
    </row>
    <row r="579" spans="1:4" x14ac:dyDescent="0.25">
      <c r="A579" t="str">
        <f>"1001160"</f>
        <v>1001160</v>
      </c>
      <c r="B579" t="s">
        <v>575</v>
      </c>
      <c r="C579" t="str">
        <f>"24.1"</f>
        <v>24.1</v>
      </c>
      <c r="D579" t="s">
        <v>1454</v>
      </c>
    </row>
    <row r="580" spans="1:4" x14ac:dyDescent="0.25">
      <c r="A580" t="str">
        <f>"67383"</f>
        <v>67383</v>
      </c>
      <c r="B580" t="s">
        <v>576</v>
      </c>
      <c r="C580" t="str">
        <f>"18.8"</f>
        <v>18.8</v>
      </c>
      <c r="D580" t="s">
        <v>1454</v>
      </c>
    </row>
    <row r="581" spans="1:4" x14ac:dyDescent="0.25">
      <c r="A581" t="str">
        <f>"49626"</f>
        <v>49626</v>
      </c>
      <c r="B581" t="s">
        <v>577</v>
      </c>
      <c r="C581" t="str">
        <f>"14.0"</f>
        <v>14.0</v>
      </c>
      <c r="D581" t="s">
        <v>1454</v>
      </c>
    </row>
    <row r="582" spans="1:4" x14ac:dyDescent="0.25">
      <c r="A582" t="str">
        <f>"43138"</f>
        <v>43138</v>
      </c>
      <c r="B582" t="s">
        <v>578</v>
      </c>
      <c r="C582" t="str">
        <f>"25.6"</f>
        <v>25.6</v>
      </c>
      <c r="D582" t="s">
        <v>1454</v>
      </c>
    </row>
    <row r="583" spans="1:4" x14ac:dyDescent="0.25">
      <c r="A583" t="str">
        <f>"38792"</f>
        <v>38792</v>
      </c>
      <c r="B583" t="s">
        <v>579</v>
      </c>
      <c r="C583" t="str">
        <f>"18.8"</f>
        <v>18.8</v>
      </c>
      <c r="D583" t="s">
        <v>1454</v>
      </c>
    </row>
    <row r="584" spans="1:4" x14ac:dyDescent="0.25">
      <c r="A584" t="str">
        <f>"19672"</f>
        <v>19672</v>
      </c>
      <c r="B584" t="s">
        <v>580</v>
      </c>
      <c r="C584" t="str">
        <f>"18.3"</f>
        <v>18.3</v>
      </c>
      <c r="D584" t="s">
        <v>1454</v>
      </c>
    </row>
    <row r="585" spans="1:4" x14ac:dyDescent="0.25">
      <c r="A585" t="str">
        <f>"69044"</f>
        <v>69044</v>
      </c>
      <c r="B585" t="s">
        <v>581</v>
      </c>
      <c r="C585" t="str">
        <f>"14.7"</f>
        <v>14.7</v>
      </c>
      <c r="D585" t="s">
        <v>1454</v>
      </c>
    </row>
    <row r="586" spans="1:4" x14ac:dyDescent="0.25">
      <c r="A586" t="str">
        <f>"10667"</f>
        <v>10667</v>
      </c>
      <c r="B586" t="s">
        <v>582</v>
      </c>
      <c r="C586" t="str">
        <f>"7.0"</f>
        <v>7.0</v>
      </c>
      <c r="D586" t="s">
        <v>1454</v>
      </c>
    </row>
    <row r="587" spans="1:4" x14ac:dyDescent="0.25">
      <c r="A587" t="str">
        <f>"1007678"</f>
        <v>1007678</v>
      </c>
      <c r="B587" t="s">
        <v>583</v>
      </c>
      <c r="C587" t="str">
        <f>"10.7"</f>
        <v>10.7</v>
      </c>
      <c r="D587" t="s">
        <v>1454</v>
      </c>
    </row>
    <row r="588" spans="1:4" x14ac:dyDescent="0.25">
      <c r="A588" t="str">
        <f>"1001904"</f>
        <v>1001904</v>
      </c>
      <c r="B588" t="s">
        <v>584</v>
      </c>
      <c r="C588" t="str">
        <f>"24.1"</f>
        <v>24.1</v>
      </c>
      <c r="D588" t="s">
        <v>1454</v>
      </c>
    </row>
    <row r="589" spans="1:4" x14ac:dyDescent="0.25">
      <c r="A589" t="str">
        <f>"1001903"</f>
        <v>1001903</v>
      </c>
      <c r="B589" t="s">
        <v>585</v>
      </c>
      <c r="C589" t="str">
        <f>"3.6"</f>
        <v>3.6</v>
      </c>
      <c r="D589" t="s">
        <v>1454</v>
      </c>
    </row>
    <row r="590" spans="1:4" x14ac:dyDescent="0.25">
      <c r="A590" t="str">
        <f>"66196"</f>
        <v>66196</v>
      </c>
      <c r="B590" t="s">
        <v>586</v>
      </c>
      <c r="C590" t="str">
        <f>"21.4"</f>
        <v>21.4</v>
      </c>
      <c r="D590" t="s">
        <v>1454</v>
      </c>
    </row>
    <row r="591" spans="1:4" x14ac:dyDescent="0.25">
      <c r="A591" t="str">
        <f>"10609"</f>
        <v>10609</v>
      </c>
      <c r="B591" t="s">
        <v>587</v>
      </c>
      <c r="C591" t="str">
        <f>"9.5"</f>
        <v>9.5</v>
      </c>
      <c r="D591" t="s">
        <v>1454</v>
      </c>
    </row>
    <row r="592" spans="1:4" x14ac:dyDescent="0.25">
      <c r="A592" t="str">
        <f>"44804"</f>
        <v>44804</v>
      </c>
      <c r="B592" t="s">
        <v>588</v>
      </c>
      <c r="C592" t="str">
        <f>"11.6"</f>
        <v>11.6</v>
      </c>
      <c r="D592" t="s">
        <v>1454</v>
      </c>
    </row>
    <row r="593" spans="1:4" x14ac:dyDescent="0.25">
      <c r="A593" t="str">
        <f>"9336"</f>
        <v>9336</v>
      </c>
      <c r="B593" t="s">
        <v>589</v>
      </c>
      <c r="C593" t="str">
        <f>"19.2"</f>
        <v>19.2</v>
      </c>
      <c r="D593" t="s">
        <v>1454</v>
      </c>
    </row>
    <row r="594" spans="1:4" x14ac:dyDescent="0.25">
      <c r="A594" t="str">
        <f>"9337"</f>
        <v>9337</v>
      </c>
      <c r="B594" t="s">
        <v>590</v>
      </c>
      <c r="C594" t="str">
        <f>"15.5"</f>
        <v>15.5</v>
      </c>
      <c r="D594" t="s">
        <v>1454</v>
      </c>
    </row>
    <row r="595" spans="1:4" x14ac:dyDescent="0.25">
      <c r="A595" t="str">
        <f>"1009081"</f>
        <v>1009081</v>
      </c>
      <c r="B595" t="s">
        <v>591</v>
      </c>
      <c r="C595" t="str">
        <f>"23.8"</f>
        <v>23.8</v>
      </c>
      <c r="D595" t="s">
        <v>1454</v>
      </c>
    </row>
    <row r="596" spans="1:4" x14ac:dyDescent="0.25">
      <c r="A596" t="str">
        <f>"1009145"</f>
        <v>1009145</v>
      </c>
      <c r="B596" t="s">
        <v>592</v>
      </c>
      <c r="C596" t="str">
        <f>"16.2"</f>
        <v>16.2</v>
      </c>
      <c r="D596" t="s">
        <v>1454</v>
      </c>
    </row>
    <row r="597" spans="1:4" x14ac:dyDescent="0.25">
      <c r="A597" t="str">
        <f>"1009083"</f>
        <v>1009083</v>
      </c>
      <c r="B597" t="s">
        <v>593</v>
      </c>
      <c r="C597" t="s">
        <v>1</v>
      </c>
      <c r="D597" t="s">
        <v>1454</v>
      </c>
    </row>
    <row r="598" spans="1:4" x14ac:dyDescent="0.25">
      <c r="A598" t="str">
        <f>"9338"</f>
        <v>9338</v>
      </c>
      <c r="B598" t="s">
        <v>594</v>
      </c>
      <c r="C598" t="str">
        <f>"5.9"</f>
        <v>5.9</v>
      </c>
      <c r="D598" t="s">
        <v>1454</v>
      </c>
    </row>
    <row r="599" spans="1:4" x14ac:dyDescent="0.25">
      <c r="A599" t="str">
        <f>"9339"</f>
        <v>9339</v>
      </c>
      <c r="B599" t="s">
        <v>595</v>
      </c>
      <c r="C599" t="str">
        <f>"+0.2"</f>
        <v>+0.2</v>
      </c>
      <c r="D599" t="s">
        <v>1454</v>
      </c>
    </row>
    <row r="600" spans="1:4" x14ac:dyDescent="0.25">
      <c r="A600" t="str">
        <f>"9340"</f>
        <v>9340</v>
      </c>
      <c r="B600" t="s">
        <v>596</v>
      </c>
      <c r="C600" t="str">
        <f>"1.2"</f>
        <v>1.2</v>
      </c>
      <c r="D600" t="s">
        <v>1454</v>
      </c>
    </row>
    <row r="601" spans="1:4" x14ac:dyDescent="0.25">
      <c r="A601" t="str">
        <f>"9342"</f>
        <v>9342</v>
      </c>
      <c r="B601" t="s">
        <v>597</v>
      </c>
      <c r="C601" t="str">
        <f>"25.6"</f>
        <v>25.6</v>
      </c>
      <c r="D601" t="s">
        <v>1454</v>
      </c>
    </row>
    <row r="602" spans="1:4" x14ac:dyDescent="0.25">
      <c r="A602" t="str">
        <f>"38831"</f>
        <v>38831</v>
      </c>
      <c r="B602" t="s">
        <v>598</v>
      </c>
      <c r="C602" t="str">
        <f>"18.1"</f>
        <v>18.1</v>
      </c>
      <c r="D602" t="s">
        <v>1454</v>
      </c>
    </row>
    <row r="603" spans="1:4" x14ac:dyDescent="0.25">
      <c r="A603" t="str">
        <f>"1002348"</f>
        <v>1002348</v>
      </c>
      <c r="B603" t="s">
        <v>599</v>
      </c>
      <c r="C603" t="str">
        <f>"20.1"</f>
        <v>20.1</v>
      </c>
      <c r="D603" t="s">
        <v>1454</v>
      </c>
    </row>
    <row r="604" spans="1:4" x14ac:dyDescent="0.25">
      <c r="A604" t="str">
        <f>"9343"</f>
        <v>9343</v>
      </c>
      <c r="B604" t="s">
        <v>600</v>
      </c>
      <c r="C604" t="str">
        <f>"19.1"</f>
        <v>19.1</v>
      </c>
      <c r="D604" t="s">
        <v>1454</v>
      </c>
    </row>
    <row r="605" spans="1:4" x14ac:dyDescent="0.25">
      <c r="A605" t="str">
        <f>"9346"</f>
        <v>9346</v>
      </c>
      <c r="B605" t="s">
        <v>601</v>
      </c>
      <c r="C605" t="str">
        <f>"23.0"</f>
        <v>23.0</v>
      </c>
      <c r="D605" t="s">
        <v>1454</v>
      </c>
    </row>
    <row r="606" spans="1:4" x14ac:dyDescent="0.25">
      <c r="A606" t="str">
        <f>"70758"</f>
        <v>70758</v>
      </c>
      <c r="B606" t="s">
        <v>602</v>
      </c>
      <c r="C606" t="str">
        <f>"17.1"</f>
        <v>17.1</v>
      </c>
      <c r="D606" t="s">
        <v>1454</v>
      </c>
    </row>
    <row r="607" spans="1:4" x14ac:dyDescent="0.25">
      <c r="A607" t="str">
        <f>"46215"</f>
        <v>46215</v>
      </c>
      <c r="B607" t="s">
        <v>603</v>
      </c>
      <c r="C607" t="str">
        <f>"24.2"</f>
        <v>24.2</v>
      </c>
      <c r="D607" t="s">
        <v>1454</v>
      </c>
    </row>
    <row r="608" spans="1:4" x14ac:dyDescent="0.25">
      <c r="A608" t="str">
        <f>"66683"</f>
        <v>66683</v>
      </c>
      <c r="B608" t="s">
        <v>604</v>
      </c>
      <c r="C608" t="str">
        <f>"7.7"</f>
        <v>7.7</v>
      </c>
      <c r="D608" t="s">
        <v>1454</v>
      </c>
    </row>
    <row r="609" spans="1:4" x14ac:dyDescent="0.25">
      <c r="A609" t="str">
        <f>"66649"</f>
        <v>66649</v>
      </c>
      <c r="B609" t="s">
        <v>605</v>
      </c>
      <c r="C609" t="str">
        <f>"19.2"</f>
        <v>19.2</v>
      </c>
      <c r="D609" t="s">
        <v>1454</v>
      </c>
    </row>
    <row r="610" spans="1:4" x14ac:dyDescent="0.25">
      <c r="A610" t="str">
        <f>"47218"</f>
        <v>47218</v>
      </c>
      <c r="B610" t="s">
        <v>606</v>
      </c>
      <c r="C610" t="str">
        <f>"17.0"</f>
        <v>17.0</v>
      </c>
      <c r="D610" t="s">
        <v>1454</v>
      </c>
    </row>
    <row r="611" spans="1:4" x14ac:dyDescent="0.25">
      <c r="A611" t="str">
        <f>"10707"</f>
        <v>10707</v>
      </c>
      <c r="B611" t="s">
        <v>607</v>
      </c>
      <c r="C611" t="str">
        <f>"19.7"</f>
        <v>19.7</v>
      </c>
      <c r="D611" t="s">
        <v>1454</v>
      </c>
    </row>
    <row r="612" spans="1:4" x14ac:dyDescent="0.25">
      <c r="A612" t="str">
        <f>"21137"</f>
        <v>21137</v>
      </c>
      <c r="B612" t="s">
        <v>608</v>
      </c>
      <c r="C612" t="str">
        <f>"17.4"</f>
        <v>17.4</v>
      </c>
      <c r="D612" t="s">
        <v>1454</v>
      </c>
    </row>
    <row r="613" spans="1:4" x14ac:dyDescent="0.25">
      <c r="A613" t="str">
        <f>"3919"</f>
        <v>3919</v>
      </c>
      <c r="B613" t="s">
        <v>609</v>
      </c>
      <c r="C613" t="str">
        <f>"13.8"</f>
        <v>13.8</v>
      </c>
      <c r="D613" t="s">
        <v>1454</v>
      </c>
    </row>
    <row r="614" spans="1:4" x14ac:dyDescent="0.25">
      <c r="A614" t="str">
        <f>"1003007"</f>
        <v>1003007</v>
      </c>
      <c r="B614" t="s">
        <v>610</v>
      </c>
      <c r="C614" t="str">
        <f>"27.9"</f>
        <v>27.9</v>
      </c>
      <c r="D614" t="s">
        <v>1454</v>
      </c>
    </row>
    <row r="615" spans="1:4" x14ac:dyDescent="0.25">
      <c r="A615" t="str">
        <f>"10217"</f>
        <v>10217</v>
      </c>
      <c r="B615" t="s">
        <v>611</v>
      </c>
      <c r="C615" t="str">
        <f>"13.4"</f>
        <v>13.4</v>
      </c>
      <c r="D615" t="s">
        <v>1454</v>
      </c>
    </row>
    <row r="616" spans="1:4" x14ac:dyDescent="0.25">
      <c r="A616" t="str">
        <f>"21142"</f>
        <v>21142</v>
      </c>
      <c r="B616" t="s">
        <v>612</v>
      </c>
      <c r="C616" t="str">
        <f>"7.0"</f>
        <v>7.0</v>
      </c>
      <c r="D616" t="s">
        <v>1454</v>
      </c>
    </row>
    <row r="617" spans="1:4" x14ac:dyDescent="0.25">
      <c r="A617" t="str">
        <f>"72194"</f>
        <v>72194</v>
      </c>
      <c r="B617" t="s">
        <v>613</v>
      </c>
      <c r="C617" t="str">
        <f>"18.2"</f>
        <v>18.2</v>
      </c>
      <c r="D617" t="s">
        <v>1454</v>
      </c>
    </row>
    <row r="618" spans="1:4" x14ac:dyDescent="0.25">
      <c r="A618" t="str">
        <f>"9358"</f>
        <v>9358</v>
      </c>
      <c r="B618" t="s">
        <v>614</v>
      </c>
      <c r="C618" t="str">
        <f>"15.6"</f>
        <v>15.6</v>
      </c>
      <c r="D618" t="s">
        <v>1454</v>
      </c>
    </row>
    <row r="619" spans="1:4" x14ac:dyDescent="0.25">
      <c r="A619" t="str">
        <f>"9359"</f>
        <v>9359</v>
      </c>
      <c r="B619" t="s">
        <v>615</v>
      </c>
      <c r="C619" t="str">
        <f>"21.6"</f>
        <v>21.6</v>
      </c>
      <c r="D619" t="s">
        <v>1454</v>
      </c>
    </row>
    <row r="620" spans="1:4" x14ac:dyDescent="0.25">
      <c r="A620" t="str">
        <f>"73753"</f>
        <v>73753</v>
      </c>
      <c r="B620" t="s">
        <v>616</v>
      </c>
      <c r="C620" t="str">
        <f>"9.7000"</f>
        <v>9.7000</v>
      </c>
      <c r="D620" t="s">
        <v>1454</v>
      </c>
    </row>
    <row r="621" spans="1:4" x14ac:dyDescent="0.25">
      <c r="A621" t="str">
        <f>"71466"</f>
        <v>71466</v>
      </c>
      <c r="B621" t="s">
        <v>617</v>
      </c>
      <c r="C621" t="str">
        <f>"15.0"</f>
        <v>15.0</v>
      </c>
      <c r="D621" t="s">
        <v>1454</v>
      </c>
    </row>
    <row r="622" spans="1:4" x14ac:dyDescent="0.25">
      <c r="A622" t="str">
        <f>"66063"</f>
        <v>66063</v>
      </c>
      <c r="B622" t="s">
        <v>618</v>
      </c>
      <c r="C622" t="str">
        <f>"6.3"</f>
        <v>6.3</v>
      </c>
      <c r="D622" t="s">
        <v>1454</v>
      </c>
    </row>
    <row r="623" spans="1:4" x14ac:dyDescent="0.25">
      <c r="A623" t="str">
        <f>"1001069"</f>
        <v>1001069</v>
      </c>
      <c r="B623" t="s">
        <v>619</v>
      </c>
      <c r="C623" t="str">
        <f>"19.9"</f>
        <v>19.9</v>
      </c>
      <c r="D623" t="s">
        <v>1454</v>
      </c>
    </row>
    <row r="624" spans="1:4" x14ac:dyDescent="0.25">
      <c r="A624" t="str">
        <f>"16312"</f>
        <v>16312</v>
      </c>
      <c r="B624" t="s">
        <v>620</v>
      </c>
      <c r="C624" t="str">
        <f>"20.4"</f>
        <v>20.4</v>
      </c>
      <c r="D624" t="s">
        <v>1454</v>
      </c>
    </row>
    <row r="625" spans="1:4" x14ac:dyDescent="0.25">
      <c r="A625" t="str">
        <f>"49551"</f>
        <v>49551</v>
      </c>
      <c r="B625" t="s">
        <v>621</v>
      </c>
      <c r="C625" t="str">
        <f>"9.5"</f>
        <v>9.5</v>
      </c>
      <c r="D625" t="s">
        <v>1454</v>
      </c>
    </row>
    <row r="626" spans="1:4" x14ac:dyDescent="0.25">
      <c r="A626" t="str">
        <f>"76562"</f>
        <v>76562</v>
      </c>
      <c r="B626" t="s">
        <v>622</v>
      </c>
      <c r="C626" t="str">
        <f>"22.9"</f>
        <v>22.9</v>
      </c>
      <c r="D626" t="s">
        <v>1454</v>
      </c>
    </row>
    <row r="627" spans="1:4" x14ac:dyDescent="0.25">
      <c r="A627" t="str">
        <f>"1006447"</f>
        <v>1006447</v>
      </c>
      <c r="B627" t="s">
        <v>623</v>
      </c>
      <c r="C627" t="str">
        <f>"15.9"</f>
        <v>15.9</v>
      </c>
      <c r="D627" t="s">
        <v>1454</v>
      </c>
    </row>
    <row r="628" spans="1:4" x14ac:dyDescent="0.25">
      <c r="A628" t="str">
        <f>"1001068"</f>
        <v>1001068</v>
      </c>
      <c r="B628" t="s">
        <v>624</v>
      </c>
      <c r="C628" t="str">
        <f>"16.2"</f>
        <v>16.2</v>
      </c>
      <c r="D628" t="s">
        <v>1454</v>
      </c>
    </row>
    <row r="629" spans="1:4" x14ac:dyDescent="0.25">
      <c r="A629" t="str">
        <f>"75893"</f>
        <v>75893</v>
      </c>
      <c r="B629" t="s">
        <v>625</v>
      </c>
      <c r="C629" t="str">
        <f>"11.1"</f>
        <v>11.1</v>
      </c>
      <c r="D629" t="s">
        <v>1454</v>
      </c>
    </row>
    <row r="630" spans="1:4" x14ac:dyDescent="0.25">
      <c r="A630" t="str">
        <f>"9377"</f>
        <v>9377</v>
      </c>
      <c r="B630" t="s">
        <v>626</v>
      </c>
      <c r="C630" t="str">
        <f>"11.5"</f>
        <v>11.5</v>
      </c>
      <c r="D630" t="s">
        <v>1454</v>
      </c>
    </row>
    <row r="631" spans="1:4" x14ac:dyDescent="0.25">
      <c r="A631" t="str">
        <f>"1006274"</f>
        <v>1006274</v>
      </c>
      <c r="B631" t="s">
        <v>627</v>
      </c>
      <c r="C631" t="str">
        <f>"13.7"</f>
        <v>13.7</v>
      </c>
      <c r="D631" t="s">
        <v>1454</v>
      </c>
    </row>
    <row r="632" spans="1:4" x14ac:dyDescent="0.25">
      <c r="A632" t="str">
        <f>"75106"</f>
        <v>75106</v>
      </c>
      <c r="B632" t="s">
        <v>628</v>
      </c>
      <c r="C632" t="str">
        <f>"14.0"</f>
        <v>14.0</v>
      </c>
      <c r="D632" t="s">
        <v>1454</v>
      </c>
    </row>
    <row r="633" spans="1:4" x14ac:dyDescent="0.25">
      <c r="A633" t="str">
        <f>"37486"</f>
        <v>37486</v>
      </c>
      <c r="B633" t="s">
        <v>629</v>
      </c>
      <c r="C633" t="str">
        <f>"27.3"</f>
        <v>27.3</v>
      </c>
      <c r="D633" t="s">
        <v>1454</v>
      </c>
    </row>
    <row r="634" spans="1:4" x14ac:dyDescent="0.25">
      <c r="A634" t="str">
        <f>"9392"</f>
        <v>9392</v>
      </c>
      <c r="B634" t="s">
        <v>630</v>
      </c>
      <c r="C634" t="str">
        <f>"11.8"</f>
        <v>11.8</v>
      </c>
      <c r="D634" t="s">
        <v>1454</v>
      </c>
    </row>
    <row r="635" spans="1:4" x14ac:dyDescent="0.25">
      <c r="A635" t="str">
        <f>"9393"</f>
        <v>9393</v>
      </c>
      <c r="B635" t="s">
        <v>631</v>
      </c>
      <c r="C635" t="str">
        <f>"21.0"</f>
        <v>21.0</v>
      </c>
      <c r="D635" t="s">
        <v>1454</v>
      </c>
    </row>
    <row r="636" spans="1:4" x14ac:dyDescent="0.25">
      <c r="A636" t="str">
        <f>"13152"</f>
        <v>13152</v>
      </c>
      <c r="B636" t="s">
        <v>632</v>
      </c>
      <c r="C636" t="str">
        <f>"14.7"</f>
        <v>14.7</v>
      </c>
      <c r="D636" t="s">
        <v>1454</v>
      </c>
    </row>
    <row r="637" spans="1:4" x14ac:dyDescent="0.25">
      <c r="A637" t="str">
        <f>"9395"</f>
        <v>9395</v>
      </c>
      <c r="B637" t="s">
        <v>633</v>
      </c>
      <c r="C637" t="str">
        <f>"26.8"</f>
        <v>26.8</v>
      </c>
      <c r="D637" t="s">
        <v>1454</v>
      </c>
    </row>
    <row r="638" spans="1:4" x14ac:dyDescent="0.25">
      <c r="A638" t="str">
        <f>"72439"</f>
        <v>72439</v>
      </c>
      <c r="B638" t="s">
        <v>634</v>
      </c>
      <c r="C638" t="str">
        <f>"13.8"</f>
        <v>13.8</v>
      </c>
      <c r="D638" t="s">
        <v>1454</v>
      </c>
    </row>
    <row r="639" spans="1:4" x14ac:dyDescent="0.25">
      <c r="A639" t="str">
        <f>"9396"</f>
        <v>9396</v>
      </c>
      <c r="B639" t="s">
        <v>635</v>
      </c>
      <c r="C639" t="str">
        <f>"19.2"</f>
        <v>19.2</v>
      </c>
      <c r="D639" t="s">
        <v>1454</v>
      </c>
    </row>
    <row r="640" spans="1:4" x14ac:dyDescent="0.25">
      <c r="A640" t="str">
        <f>"21976"</f>
        <v>21976</v>
      </c>
      <c r="B640" t="s">
        <v>636</v>
      </c>
      <c r="C640" t="str">
        <f>"6.6"</f>
        <v>6.6</v>
      </c>
      <c r="D640" t="s">
        <v>1454</v>
      </c>
    </row>
    <row r="641" spans="1:4" x14ac:dyDescent="0.25">
      <c r="A641" t="str">
        <f>"10568"</f>
        <v>10568</v>
      </c>
      <c r="B641" t="s">
        <v>637</v>
      </c>
      <c r="C641" t="str">
        <f>"20.0"</f>
        <v>20.0</v>
      </c>
      <c r="D641" t="s">
        <v>1454</v>
      </c>
    </row>
    <row r="642" spans="1:4" x14ac:dyDescent="0.25">
      <c r="A642" t="str">
        <f>"34803"</f>
        <v>34803</v>
      </c>
      <c r="B642" t="s">
        <v>638</v>
      </c>
      <c r="C642" t="str">
        <f>"15.5"</f>
        <v>15.5</v>
      </c>
      <c r="D642" t="s">
        <v>1454</v>
      </c>
    </row>
    <row r="643" spans="1:4" x14ac:dyDescent="0.25">
      <c r="A643" t="str">
        <f>"1000765"</f>
        <v>1000765</v>
      </c>
      <c r="B643" t="s">
        <v>639</v>
      </c>
      <c r="C643" t="str">
        <f>"20.7"</f>
        <v>20.7</v>
      </c>
      <c r="D643" t="s">
        <v>1454</v>
      </c>
    </row>
    <row r="644" spans="1:4" x14ac:dyDescent="0.25">
      <c r="A644" t="str">
        <f>"75040"</f>
        <v>75040</v>
      </c>
      <c r="B644" t="s">
        <v>640</v>
      </c>
      <c r="C644" t="str">
        <f>"21.3"</f>
        <v>21.3</v>
      </c>
      <c r="D644" t="s">
        <v>1454</v>
      </c>
    </row>
    <row r="645" spans="1:4" x14ac:dyDescent="0.25">
      <c r="A645" t="str">
        <f>"17911"</f>
        <v>17911</v>
      </c>
      <c r="B645" t="s">
        <v>641</v>
      </c>
      <c r="C645" t="str">
        <f>"20.5"</f>
        <v>20.5</v>
      </c>
      <c r="D645" t="s">
        <v>1454</v>
      </c>
    </row>
    <row r="646" spans="1:4" x14ac:dyDescent="0.25">
      <c r="A646" t="str">
        <f>"9403"</f>
        <v>9403</v>
      </c>
      <c r="B646" t="s">
        <v>642</v>
      </c>
      <c r="C646" t="str">
        <f>"19.8"</f>
        <v>19.8</v>
      </c>
      <c r="D646" t="s">
        <v>1454</v>
      </c>
    </row>
    <row r="647" spans="1:4" x14ac:dyDescent="0.25">
      <c r="A647" t="str">
        <f>"1000018"</f>
        <v>1000018</v>
      </c>
      <c r="B647" t="s">
        <v>643</v>
      </c>
      <c r="C647" t="str">
        <f>"11.4"</f>
        <v>11.4</v>
      </c>
      <c r="D647" t="s">
        <v>1454</v>
      </c>
    </row>
    <row r="648" spans="1:4" x14ac:dyDescent="0.25">
      <c r="A648" t="str">
        <f>"10396"</f>
        <v>10396</v>
      </c>
      <c r="B648" t="s">
        <v>644</v>
      </c>
      <c r="C648" t="str">
        <f>"9.7"</f>
        <v>9.7</v>
      </c>
      <c r="D648" t="s">
        <v>1454</v>
      </c>
    </row>
    <row r="649" spans="1:4" x14ac:dyDescent="0.25">
      <c r="A649" t="str">
        <f>"9416"</f>
        <v>9416</v>
      </c>
      <c r="B649" t="s">
        <v>645</v>
      </c>
      <c r="C649" t="str">
        <f>"13.5"</f>
        <v>13.5</v>
      </c>
      <c r="D649" t="s">
        <v>1454</v>
      </c>
    </row>
    <row r="650" spans="1:4" x14ac:dyDescent="0.25">
      <c r="A650" t="str">
        <f>"76321"</f>
        <v>76321</v>
      </c>
      <c r="B650" t="s">
        <v>646</v>
      </c>
      <c r="C650" t="str">
        <f>"17.5"</f>
        <v>17.5</v>
      </c>
      <c r="D650" t="s">
        <v>1454</v>
      </c>
    </row>
    <row r="651" spans="1:4" x14ac:dyDescent="0.25">
      <c r="A651" t="str">
        <f>"9421"</f>
        <v>9421</v>
      </c>
      <c r="B651" t="s">
        <v>647</v>
      </c>
      <c r="C651" t="str">
        <f>"12.5"</f>
        <v>12.5</v>
      </c>
      <c r="D651" t="s">
        <v>1454</v>
      </c>
    </row>
    <row r="652" spans="1:4" x14ac:dyDescent="0.25">
      <c r="A652" t="str">
        <f>"76773"</f>
        <v>76773</v>
      </c>
      <c r="B652" t="s">
        <v>648</v>
      </c>
      <c r="C652" t="str">
        <f>"11.7"</f>
        <v>11.7</v>
      </c>
      <c r="D652" t="s">
        <v>1454</v>
      </c>
    </row>
    <row r="653" spans="1:4" x14ac:dyDescent="0.25">
      <c r="A653" t="str">
        <f>"81344"</f>
        <v>81344</v>
      </c>
      <c r="B653" t="s">
        <v>649</v>
      </c>
      <c r="C653" t="str">
        <f>"23.2"</f>
        <v>23.2</v>
      </c>
      <c r="D653" t="s">
        <v>1454</v>
      </c>
    </row>
    <row r="654" spans="1:4" x14ac:dyDescent="0.25">
      <c r="A654" t="str">
        <f>"21182"</f>
        <v>21182</v>
      </c>
      <c r="B654" t="s">
        <v>650</v>
      </c>
      <c r="C654" t="str">
        <f>"14.0"</f>
        <v>14.0</v>
      </c>
      <c r="D654" t="s">
        <v>1454</v>
      </c>
    </row>
    <row r="655" spans="1:4" x14ac:dyDescent="0.25">
      <c r="A655" t="str">
        <f>"1005916"</f>
        <v>1005916</v>
      </c>
      <c r="B655" t="s">
        <v>651</v>
      </c>
      <c r="C655" t="str">
        <f>"18.6"</f>
        <v>18.6</v>
      </c>
      <c r="D655" t="s">
        <v>1454</v>
      </c>
    </row>
    <row r="656" spans="1:4" x14ac:dyDescent="0.25">
      <c r="A656" t="str">
        <f>"13186"</f>
        <v>13186</v>
      </c>
      <c r="B656" t="s">
        <v>652</v>
      </c>
      <c r="C656" t="str">
        <f>"9.6"</f>
        <v>9.6</v>
      </c>
      <c r="D656" t="s">
        <v>1454</v>
      </c>
    </row>
    <row r="657" spans="1:4" x14ac:dyDescent="0.25">
      <c r="A657" t="str">
        <f>"1010505"</f>
        <v>1010505</v>
      </c>
      <c r="B657" t="s">
        <v>653</v>
      </c>
      <c r="C657" t="str">
        <f>"21.1"</f>
        <v>21.1</v>
      </c>
      <c r="D657" t="s">
        <v>1454</v>
      </c>
    </row>
    <row r="658" spans="1:4" x14ac:dyDescent="0.25">
      <c r="A658" t="str">
        <f>"1005081"</f>
        <v>1005081</v>
      </c>
      <c r="B658" t="s">
        <v>654</v>
      </c>
      <c r="C658" t="str">
        <f>"17.0"</f>
        <v>17.0</v>
      </c>
      <c r="D658" t="s">
        <v>1454</v>
      </c>
    </row>
    <row r="659" spans="1:4" x14ac:dyDescent="0.25">
      <c r="A659" t="str">
        <f>"75886"</f>
        <v>75886</v>
      </c>
      <c r="B659" t="s">
        <v>655</v>
      </c>
      <c r="C659" t="str">
        <f>"29.4"</f>
        <v>29.4</v>
      </c>
      <c r="D659" t="s">
        <v>1454</v>
      </c>
    </row>
    <row r="660" spans="1:4" x14ac:dyDescent="0.25">
      <c r="A660" t="str">
        <f>"49550"</f>
        <v>49550</v>
      </c>
      <c r="B660" t="s">
        <v>656</v>
      </c>
      <c r="C660" t="str">
        <f>"30.7"</f>
        <v>30.7</v>
      </c>
      <c r="D660" t="s">
        <v>1454</v>
      </c>
    </row>
    <row r="661" spans="1:4" x14ac:dyDescent="0.25">
      <c r="A661" t="str">
        <f>"1003320"</f>
        <v>1003320</v>
      </c>
      <c r="B661" t="s">
        <v>657</v>
      </c>
      <c r="C661" t="str">
        <f>"16.7"</f>
        <v>16.7</v>
      </c>
      <c r="D661" t="s">
        <v>1454</v>
      </c>
    </row>
    <row r="662" spans="1:4" x14ac:dyDescent="0.25">
      <c r="A662" t="str">
        <f>"9433"</f>
        <v>9433</v>
      </c>
      <c r="B662" t="s">
        <v>658</v>
      </c>
      <c r="C662" t="str">
        <f>"18.3"</f>
        <v>18.3</v>
      </c>
      <c r="D662" t="s">
        <v>1454</v>
      </c>
    </row>
    <row r="663" spans="1:4" x14ac:dyDescent="0.25">
      <c r="A663" t="str">
        <f>"1001162"</f>
        <v>1001162</v>
      </c>
      <c r="B663" t="s">
        <v>659</v>
      </c>
      <c r="C663" t="str">
        <f>"22.9"</f>
        <v>22.9</v>
      </c>
      <c r="D663" t="s">
        <v>1454</v>
      </c>
    </row>
    <row r="664" spans="1:4" x14ac:dyDescent="0.25">
      <c r="A664" t="str">
        <f>"9442"</f>
        <v>9442</v>
      </c>
      <c r="B664" t="s">
        <v>660</v>
      </c>
      <c r="C664" t="str">
        <f>"25.8"</f>
        <v>25.8</v>
      </c>
      <c r="D664" t="s">
        <v>1454</v>
      </c>
    </row>
    <row r="665" spans="1:4" x14ac:dyDescent="0.25">
      <c r="A665" t="str">
        <f>"9443"</f>
        <v>9443</v>
      </c>
      <c r="B665" t="s">
        <v>661</v>
      </c>
      <c r="C665" t="str">
        <f>"22.6"</f>
        <v>22.6</v>
      </c>
      <c r="D665" t="s">
        <v>1454</v>
      </c>
    </row>
    <row r="666" spans="1:4" x14ac:dyDescent="0.25">
      <c r="A666" t="str">
        <f>"9444"</f>
        <v>9444</v>
      </c>
      <c r="B666" t="s">
        <v>662</v>
      </c>
      <c r="C666" t="str">
        <f>"20.0"</f>
        <v>20.0</v>
      </c>
      <c r="D666" t="s">
        <v>1454</v>
      </c>
    </row>
    <row r="667" spans="1:4" x14ac:dyDescent="0.25">
      <c r="A667" t="str">
        <f>"9445"</f>
        <v>9445</v>
      </c>
      <c r="B667" t="s">
        <v>663</v>
      </c>
      <c r="C667" t="str">
        <f>"16.4"</f>
        <v>16.4</v>
      </c>
      <c r="D667" t="s">
        <v>1454</v>
      </c>
    </row>
    <row r="668" spans="1:4" x14ac:dyDescent="0.25">
      <c r="A668" t="str">
        <f>"10467"</f>
        <v>10467</v>
      </c>
      <c r="B668" t="s">
        <v>664</v>
      </c>
      <c r="C668" t="str">
        <f>"7.2"</f>
        <v>7.2</v>
      </c>
      <c r="D668" t="s">
        <v>1454</v>
      </c>
    </row>
    <row r="669" spans="1:4" x14ac:dyDescent="0.25">
      <c r="A669" t="str">
        <f>"69354"</f>
        <v>69354</v>
      </c>
      <c r="B669" t="s">
        <v>665</v>
      </c>
      <c r="C669" t="str">
        <f>"8.5"</f>
        <v>8.5</v>
      </c>
      <c r="D669" t="s">
        <v>1454</v>
      </c>
    </row>
    <row r="670" spans="1:4" x14ac:dyDescent="0.25">
      <c r="A670" t="str">
        <f>"9448"</f>
        <v>9448</v>
      </c>
      <c r="B670" t="s">
        <v>666</v>
      </c>
      <c r="C670" t="str">
        <f>"16.8"</f>
        <v>16.8</v>
      </c>
      <c r="D670" t="s">
        <v>1454</v>
      </c>
    </row>
    <row r="671" spans="1:4" x14ac:dyDescent="0.25">
      <c r="A671" t="str">
        <f>"9449"</f>
        <v>9449</v>
      </c>
      <c r="B671" t="s">
        <v>667</v>
      </c>
      <c r="C671" t="str">
        <f>"21.3"</f>
        <v>21.3</v>
      </c>
      <c r="D671" t="s">
        <v>1454</v>
      </c>
    </row>
    <row r="672" spans="1:4" x14ac:dyDescent="0.25">
      <c r="A672" t="str">
        <f>"9451"</f>
        <v>9451</v>
      </c>
      <c r="B672" t="s">
        <v>668</v>
      </c>
      <c r="C672" t="str">
        <f>"25.8"</f>
        <v>25.8</v>
      </c>
      <c r="D672" t="s">
        <v>1454</v>
      </c>
    </row>
    <row r="673" spans="1:4" x14ac:dyDescent="0.25">
      <c r="A673" t="str">
        <f>"9452"</f>
        <v>9452</v>
      </c>
      <c r="B673" t="s">
        <v>669</v>
      </c>
      <c r="C673" t="str">
        <f>"11.0"</f>
        <v>11.0</v>
      </c>
      <c r="D673" t="s">
        <v>1454</v>
      </c>
    </row>
    <row r="674" spans="1:4" x14ac:dyDescent="0.25">
      <c r="A674" t="str">
        <f>"73134"</f>
        <v>73134</v>
      </c>
      <c r="B674" t="s">
        <v>670</v>
      </c>
      <c r="C674" t="str">
        <f>"12.9"</f>
        <v>12.9</v>
      </c>
      <c r="D674" t="s">
        <v>1454</v>
      </c>
    </row>
    <row r="675" spans="1:4" x14ac:dyDescent="0.25">
      <c r="A675" t="str">
        <f>"1003560"</f>
        <v>1003560</v>
      </c>
      <c r="B675" t="s">
        <v>671</v>
      </c>
      <c r="C675" t="str">
        <f>"23.7"</f>
        <v>23.7</v>
      </c>
      <c r="D675" t="s">
        <v>1454</v>
      </c>
    </row>
    <row r="676" spans="1:4" x14ac:dyDescent="0.25">
      <c r="A676" t="str">
        <f>"75887"</f>
        <v>75887</v>
      </c>
      <c r="B676" t="s">
        <v>672</v>
      </c>
      <c r="C676" t="str">
        <f>"12.1"</f>
        <v>12.1</v>
      </c>
      <c r="D676" t="s">
        <v>1454</v>
      </c>
    </row>
    <row r="677" spans="1:4" x14ac:dyDescent="0.25">
      <c r="A677" t="str">
        <f>"9457"</f>
        <v>9457</v>
      </c>
      <c r="B677" t="s">
        <v>673</v>
      </c>
      <c r="C677" t="str">
        <f>"10.3"</f>
        <v>10.3</v>
      </c>
      <c r="D677" t="s">
        <v>1454</v>
      </c>
    </row>
    <row r="678" spans="1:4" x14ac:dyDescent="0.25">
      <c r="A678" t="str">
        <f>"9459"</f>
        <v>9459</v>
      </c>
      <c r="B678" t="s">
        <v>674</v>
      </c>
      <c r="C678" t="str">
        <f>"25.8"</f>
        <v>25.8</v>
      </c>
      <c r="D678" t="s">
        <v>1454</v>
      </c>
    </row>
    <row r="679" spans="1:4" x14ac:dyDescent="0.25">
      <c r="A679" t="str">
        <f>"10470"</f>
        <v>10470</v>
      </c>
      <c r="B679" t="s">
        <v>675</v>
      </c>
      <c r="C679" t="str">
        <f>"28.5"</f>
        <v>28.5</v>
      </c>
      <c r="D679" t="s">
        <v>1454</v>
      </c>
    </row>
    <row r="680" spans="1:4" x14ac:dyDescent="0.25">
      <c r="A680" t="str">
        <f>"68017"</f>
        <v>68017</v>
      </c>
      <c r="B680" t="s">
        <v>676</v>
      </c>
      <c r="C680" t="str">
        <f>"14.7"</f>
        <v>14.7</v>
      </c>
      <c r="D680" t="s">
        <v>1454</v>
      </c>
    </row>
    <row r="681" spans="1:4" x14ac:dyDescent="0.25">
      <c r="A681" t="str">
        <f>"9463"</f>
        <v>9463</v>
      </c>
      <c r="B681" t="s">
        <v>677</v>
      </c>
      <c r="C681" t="str">
        <f>"11.8"</f>
        <v>11.8</v>
      </c>
      <c r="D681" t="s">
        <v>1454</v>
      </c>
    </row>
    <row r="682" spans="1:4" x14ac:dyDescent="0.25">
      <c r="A682" t="str">
        <f>"13205"</f>
        <v>13205</v>
      </c>
      <c r="B682" t="s">
        <v>678</v>
      </c>
      <c r="C682" t="str">
        <f>"14.3"</f>
        <v>14.3</v>
      </c>
      <c r="D682" t="s">
        <v>1454</v>
      </c>
    </row>
    <row r="683" spans="1:4" x14ac:dyDescent="0.25">
      <c r="A683" t="str">
        <f>"10650"</f>
        <v>10650</v>
      </c>
      <c r="B683" t="s">
        <v>679</v>
      </c>
      <c r="C683" t="str">
        <f>"12.2"</f>
        <v>12.2</v>
      </c>
      <c r="D683" t="s">
        <v>1454</v>
      </c>
    </row>
    <row r="684" spans="1:4" x14ac:dyDescent="0.25">
      <c r="A684" t="str">
        <f>"69245"</f>
        <v>69245</v>
      </c>
      <c r="B684" t="s">
        <v>680</v>
      </c>
      <c r="C684" t="str">
        <f>"19.2"</f>
        <v>19.2</v>
      </c>
      <c r="D684" t="s">
        <v>1454</v>
      </c>
    </row>
    <row r="685" spans="1:4" x14ac:dyDescent="0.25">
      <c r="A685" t="str">
        <f>"9469"</f>
        <v>9469</v>
      </c>
      <c r="B685" t="s">
        <v>681</v>
      </c>
      <c r="C685" t="str">
        <f>"33.5"</f>
        <v>33.5</v>
      </c>
      <c r="D685" t="s">
        <v>1454</v>
      </c>
    </row>
    <row r="686" spans="1:4" x14ac:dyDescent="0.25">
      <c r="A686" t="str">
        <f>"9470"</f>
        <v>9470</v>
      </c>
      <c r="B686" t="s">
        <v>682</v>
      </c>
      <c r="C686" t="str">
        <f>"24.0"</f>
        <v>24.0</v>
      </c>
      <c r="D686" t="s">
        <v>1454</v>
      </c>
    </row>
    <row r="687" spans="1:4" x14ac:dyDescent="0.25">
      <c r="A687" t="str">
        <f>"48378"</f>
        <v>48378</v>
      </c>
      <c r="B687" t="s">
        <v>683</v>
      </c>
      <c r="C687" t="str">
        <f>"12.2"</f>
        <v>12.2</v>
      </c>
      <c r="D687" t="s">
        <v>1454</v>
      </c>
    </row>
    <row r="688" spans="1:4" x14ac:dyDescent="0.25">
      <c r="A688" t="str">
        <f>"10605"</f>
        <v>10605</v>
      </c>
      <c r="B688" t="s">
        <v>684</v>
      </c>
      <c r="C688" t="str">
        <f>"3.2"</f>
        <v>3.2</v>
      </c>
      <c r="D688" t="s">
        <v>1454</v>
      </c>
    </row>
    <row r="689" spans="1:4" x14ac:dyDescent="0.25">
      <c r="A689" t="str">
        <f>"9472"</f>
        <v>9472</v>
      </c>
      <c r="B689" t="s">
        <v>685</v>
      </c>
      <c r="C689" t="str">
        <f>"14.1"</f>
        <v>14.1</v>
      </c>
      <c r="D689" t="s">
        <v>1454</v>
      </c>
    </row>
    <row r="690" spans="1:4" x14ac:dyDescent="0.25">
      <c r="A690" t="str">
        <f>"76133"</f>
        <v>76133</v>
      </c>
      <c r="B690" t="s">
        <v>686</v>
      </c>
      <c r="C690" t="s">
        <v>1</v>
      </c>
      <c r="D690" t="s">
        <v>1454</v>
      </c>
    </row>
    <row r="691" spans="1:4" x14ac:dyDescent="0.25">
      <c r="A691" t="str">
        <f>"73303"</f>
        <v>73303</v>
      </c>
      <c r="B691" t="s">
        <v>687</v>
      </c>
      <c r="C691" t="str">
        <f>"22.9"</f>
        <v>22.9</v>
      </c>
      <c r="D691" t="s">
        <v>1454</v>
      </c>
    </row>
    <row r="692" spans="1:4" x14ac:dyDescent="0.25">
      <c r="A692" t="str">
        <f>"66829"</f>
        <v>66829</v>
      </c>
      <c r="B692" t="s">
        <v>688</v>
      </c>
      <c r="C692" t="str">
        <f>"18.2"</f>
        <v>18.2</v>
      </c>
      <c r="D692" t="s">
        <v>1454</v>
      </c>
    </row>
    <row r="693" spans="1:4" x14ac:dyDescent="0.25">
      <c r="A693" t="str">
        <f>"69996"</f>
        <v>69996</v>
      </c>
      <c r="B693" t="s">
        <v>689</v>
      </c>
      <c r="C693" t="str">
        <f>"13.1"</f>
        <v>13.1</v>
      </c>
      <c r="D693" t="s">
        <v>1454</v>
      </c>
    </row>
    <row r="694" spans="1:4" x14ac:dyDescent="0.25">
      <c r="A694" t="str">
        <f>"46637"</f>
        <v>46637</v>
      </c>
      <c r="B694" t="s">
        <v>690</v>
      </c>
      <c r="C694" t="str">
        <f>"11.1"</f>
        <v>11.1</v>
      </c>
      <c r="D694" t="s">
        <v>1454</v>
      </c>
    </row>
    <row r="695" spans="1:4" x14ac:dyDescent="0.25">
      <c r="A695" t="str">
        <f>"70742"</f>
        <v>70742</v>
      </c>
      <c r="B695" t="s">
        <v>691</v>
      </c>
      <c r="C695" t="str">
        <f>"18.3"</f>
        <v>18.3</v>
      </c>
      <c r="D695" t="s">
        <v>1454</v>
      </c>
    </row>
    <row r="696" spans="1:4" x14ac:dyDescent="0.25">
      <c r="A696" t="str">
        <f>"70139"</f>
        <v>70139</v>
      </c>
      <c r="B696" t="s">
        <v>692</v>
      </c>
      <c r="C696" t="str">
        <f>"8.2"</f>
        <v>8.2</v>
      </c>
      <c r="D696" t="s">
        <v>1454</v>
      </c>
    </row>
    <row r="697" spans="1:4" x14ac:dyDescent="0.25">
      <c r="A697" t="str">
        <f>"81288"</f>
        <v>81288</v>
      </c>
      <c r="B697" t="s">
        <v>693</v>
      </c>
      <c r="C697" t="str">
        <f>"17.5"</f>
        <v>17.5</v>
      </c>
      <c r="D697" t="s">
        <v>1454</v>
      </c>
    </row>
    <row r="698" spans="1:4" x14ac:dyDescent="0.25">
      <c r="A698" t="str">
        <f>"69867"</f>
        <v>69867</v>
      </c>
      <c r="B698" t="s">
        <v>694</v>
      </c>
      <c r="C698" t="str">
        <f>"16.9"</f>
        <v>16.9</v>
      </c>
      <c r="D698" t="s">
        <v>1454</v>
      </c>
    </row>
    <row r="699" spans="1:4" x14ac:dyDescent="0.25">
      <c r="A699" t="str">
        <f>"1008934"</f>
        <v>1008934</v>
      </c>
      <c r="B699" t="s">
        <v>695</v>
      </c>
      <c r="C699" t="str">
        <f>"25.9"</f>
        <v>25.9</v>
      </c>
      <c r="D699" t="s">
        <v>1454</v>
      </c>
    </row>
    <row r="700" spans="1:4" x14ac:dyDescent="0.25">
      <c r="A700" t="str">
        <f>"1008932"</f>
        <v>1008932</v>
      </c>
      <c r="B700" t="s">
        <v>696</v>
      </c>
      <c r="C700" t="str">
        <f>"20.7"</f>
        <v>20.7</v>
      </c>
      <c r="D700" t="s">
        <v>1454</v>
      </c>
    </row>
    <row r="701" spans="1:4" x14ac:dyDescent="0.25">
      <c r="A701" t="str">
        <f>"44122"</f>
        <v>44122</v>
      </c>
      <c r="B701" t="s">
        <v>697</v>
      </c>
      <c r="C701" t="str">
        <f>"16.4"</f>
        <v>16.4</v>
      </c>
      <c r="D701" t="s">
        <v>1454</v>
      </c>
    </row>
    <row r="702" spans="1:4" x14ac:dyDescent="0.25">
      <c r="A702" t="str">
        <f>"9480"</f>
        <v>9480</v>
      </c>
      <c r="B702" t="s">
        <v>698</v>
      </c>
      <c r="C702" t="str">
        <f>"20.2"</f>
        <v>20.2</v>
      </c>
      <c r="D702" t="s">
        <v>1454</v>
      </c>
    </row>
    <row r="703" spans="1:4" x14ac:dyDescent="0.25">
      <c r="A703" t="str">
        <f>"72427"</f>
        <v>72427</v>
      </c>
      <c r="B703" t="s">
        <v>699</v>
      </c>
      <c r="C703" t="str">
        <f>"28.0"</f>
        <v>28.0</v>
      </c>
      <c r="D703" t="s">
        <v>1454</v>
      </c>
    </row>
    <row r="704" spans="1:4" x14ac:dyDescent="0.25">
      <c r="A704" t="str">
        <f>"38508"</f>
        <v>38508</v>
      </c>
      <c r="B704" t="s">
        <v>700</v>
      </c>
      <c r="C704" t="str">
        <f>"20.5"</f>
        <v>20.5</v>
      </c>
      <c r="D704" t="s">
        <v>1454</v>
      </c>
    </row>
    <row r="705" spans="1:4" x14ac:dyDescent="0.25">
      <c r="A705" t="str">
        <f>"45079"</f>
        <v>45079</v>
      </c>
      <c r="B705" t="s">
        <v>701</v>
      </c>
      <c r="C705" t="str">
        <f>"15.8"</f>
        <v>15.8</v>
      </c>
      <c r="D705" t="s">
        <v>1454</v>
      </c>
    </row>
    <row r="706" spans="1:4" x14ac:dyDescent="0.25">
      <c r="A706" t="str">
        <f>"9484"</f>
        <v>9484</v>
      </c>
      <c r="B706" t="s">
        <v>702</v>
      </c>
      <c r="C706" t="str">
        <f>"15.6"</f>
        <v>15.6</v>
      </c>
      <c r="D706" t="s">
        <v>1454</v>
      </c>
    </row>
    <row r="707" spans="1:4" x14ac:dyDescent="0.25">
      <c r="A707" t="str">
        <f>"76139"</f>
        <v>76139</v>
      </c>
      <c r="B707" t="s">
        <v>703</v>
      </c>
      <c r="C707" t="str">
        <f>"16.1"</f>
        <v>16.1</v>
      </c>
      <c r="D707" t="s">
        <v>1454</v>
      </c>
    </row>
    <row r="708" spans="1:4" x14ac:dyDescent="0.25">
      <c r="A708" t="str">
        <f>"68878"</f>
        <v>68878</v>
      </c>
      <c r="B708" t="s">
        <v>704</v>
      </c>
      <c r="C708" t="str">
        <f>"2.0"</f>
        <v>2.0</v>
      </c>
      <c r="D708" t="s">
        <v>1454</v>
      </c>
    </row>
    <row r="709" spans="1:4" x14ac:dyDescent="0.25">
      <c r="A709" t="str">
        <f>"9490"</f>
        <v>9490</v>
      </c>
      <c r="B709" t="s">
        <v>705</v>
      </c>
      <c r="C709" t="str">
        <f>"10.2"</f>
        <v>10.2</v>
      </c>
      <c r="D709" t="s">
        <v>1454</v>
      </c>
    </row>
    <row r="710" spans="1:4" x14ac:dyDescent="0.25">
      <c r="A710" t="str">
        <f>"9491"</f>
        <v>9491</v>
      </c>
      <c r="B710" t="s">
        <v>706</v>
      </c>
      <c r="C710" t="str">
        <f>"10.8"</f>
        <v>10.8</v>
      </c>
      <c r="D710" t="s">
        <v>1454</v>
      </c>
    </row>
    <row r="711" spans="1:4" x14ac:dyDescent="0.25">
      <c r="A711" t="str">
        <f>"9492"</f>
        <v>9492</v>
      </c>
      <c r="B711" t="s">
        <v>707</v>
      </c>
      <c r="C711" t="str">
        <f>"16.0"</f>
        <v>16.0</v>
      </c>
      <c r="D711" t="s">
        <v>1454</v>
      </c>
    </row>
    <row r="712" spans="1:4" x14ac:dyDescent="0.25">
      <c r="A712" t="str">
        <f>"32844"</f>
        <v>32844</v>
      </c>
      <c r="B712" t="s">
        <v>708</v>
      </c>
      <c r="C712" t="str">
        <f>"12.3"</f>
        <v>12.3</v>
      </c>
      <c r="D712" t="s">
        <v>1454</v>
      </c>
    </row>
    <row r="713" spans="1:4" x14ac:dyDescent="0.25">
      <c r="A713" t="str">
        <f>"42781"</f>
        <v>42781</v>
      </c>
      <c r="B713" t="s">
        <v>709</v>
      </c>
      <c r="C713" t="str">
        <f>"22.4"</f>
        <v>22.4</v>
      </c>
      <c r="D713" t="s">
        <v>1454</v>
      </c>
    </row>
    <row r="714" spans="1:4" x14ac:dyDescent="0.25">
      <c r="A714" t="str">
        <f>"9494"</f>
        <v>9494</v>
      </c>
      <c r="B714" t="s">
        <v>710</v>
      </c>
      <c r="C714" t="str">
        <f>"28.0000"</f>
        <v>28.0000</v>
      </c>
      <c r="D714" t="s">
        <v>1454</v>
      </c>
    </row>
    <row r="715" spans="1:4" x14ac:dyDescent="0.25">
      <c r="A715" t="str">
        <f>"1006445"</f>
        <v>1006445</v>
      </c>
      <c r="B715" t="s">
        <v>711</v>
      </c>
      <c r="C715" t="str">
        <f>"18.3000"</f>
        <v>18.3000</v>
      </c>
      <c r="D715" t="s">
        <v>1454</v>
      </c>
    </row>
    <row r="716" spans="1:4" x14ac:dyDescent="0.25">
      <c r="A716" t="str">
        <f>"9495"</f>
        <v>9495</v>
      </c>
      <c r="B716" t="s">
        <v>712</v>
      </c>
      <c r="C716" t="str">
        <f>"20.8"</f>
        <v>20.8</v>
      </c>
      <c r="D716" t="s">
        <v>1454</v>
      </c>
    </row>
    <row r="717" spans="1:4" x14ac:dyDescent="0.25">
      <c r="A717" t="str">
        <f>"37639"</f>
        <v>37639</v>
      </c>
      <c r="B717" t="s">
        <v>713</v>
      </c>
      <c r="C717" t="str">
        <f>"11.5"</f>
        <v>11.5</v>
      </c>
      <c r="D717" t="s">
        <v>1454</v>
      </c>
    </row>
    <row r="718" spans="1:4" x14ac:dyDescent="0.25">
      <c r="A718" t="str">
        <f>"9498"</f>
        <v>9498</v>
      </c>
      <c r="B718" t="s">
        <v>714</v>
      </c>
      <c r="C718" t="str">
        <f>"8.4"</f>
        <v>8.4</v>
      </c>
      <c r="D718" t="s">
        <v>1454</v>
      </c>
    </row>
    <row r="719" spans="1:4" x14ac:dyDescent="0.25">
      <c r="A719" t="str">
        <f>"43791"</f>
        <v>43791</v>
      </c>
      <c r="B719" t="s">
        <v>715</v>
      </c>
      <c r="C719" t="str">
        <f>"13.4"</f>
        <v>13.4</v>
      </c>
      <c r="D719" t="s">
        <v>1454</v>
      </c>
    </row>
    <row r="720" spans="1:4" x14ac:dyDescent="0.25">
      <c r="A720" t="str">
        <f>"9502"</f>
        <v>9502</v>
      </c>
      <c r="B720" t="s">
        <v>716</v>
      </c>
      <c r="C720" t="str">
        <f>"11.9"</f>
        <v>11.9</v>
      </c>
      <c r="D720" t="s">
        <v>1454</v>
      </c>
    </row>
    <row r="721" spans="1:4" x14ac:dyDescent="0.25">
      <c r="A721" t="str">
        <f>"70905"</f>
        <v>70905</v>
      </c>
      <c r="B721" t="s">
        <v>717</v>
      </c>
      <c r="C721" t="str">
        <f>"+1.5"</f>
        <v>+1.5</v>
      </c>
      <c r="D721" t="s">
        <v>1454</v>
      </c>
    </row>
    <row r="722" spans="1:4" x14ac:dyDescent="0.25">
      <c r="A722" t="str">
        <f>"71294"</f>
        <v>71294</v>
      </c>
      <c r="B722" t="s">
        <v>718</v>
      </c>
      <c r="C722" t="str">
        <f>"14.9"</f>
        <v>14.9</v>
      </c>
      <c r="D722" t="s">
        <v>1454</v>
      </c>
    </row>
    <row r="723" spans="1:4" x14ac:dyDescent="0.25">
      <c r="A723" t="str">
        <f>"1010507"</f>
        <v>1010507</v>
      </c>
      <c r="B723" t="s">
        <v>719</v>
      </c>
      <c r="C723" t="s">
        <v>1</v>
      </c>
      <c r="D723" t="s">
        <v>1454</v>
      </c>
    </row>
    <row r="724" spans="1:4" x14ac:dyDescent="0.25">
      <c r="A724" t="str">
        <f>"73135"</f>
        <v>73135</v>
      </c>
      <c r="B724" t="s">
        <v>720</v>
      </c>
      <c r="C724" t="str">
        <f>"15.7"</f>
        <v>15.7</v>
      </c>
      <c r="D724" t="s">
        <v>1454</v>
      </c>
    </row>
    <row r="725" spans="1:4" x14ac:dyDescent="0.25">
      <c r="A725" t="str">
        <f>"9505"</f>
        <v>9505</v>
      </c>
      <c r="B725" t="s">
        <v>721</v>
      </c>
      <c r="C725" t="str">
        <f>"13.5"</f>
        <v>13.5</v>
      </c>
      <c r="D725" t="s">
        <v>1454</v>
      </c>
    </row>
    <row r="726" spans="1:4" x14ac:dyDescent="0.25">
      <c r="A726" t="str">
        <f>"73468"</f>
        <v>73468</v>
      </c>
      <c r="B726" t="s">
        <v>722</v>
      </c>
      <c r="C726" t="str">
        <f>"15.4"</f>
        <v>15.4</v>
      </c>
      <c r="D726" t="s">
        <v>1454</v>
      </c>
    </row>
    <row r="727" spans="1:4" x14ac:dyDescent="0.25">
      <c r="A727" t="str">
        <f>"9509"</f>
        <v>9509</v>
      </c>
      <c r="B727" t="s">
        <v>723</v>
      </c>
      <c r="C727" t="str">
        <f>"26.5"</f>
        <v>26.5</v>
      </c>
      <c r="D727" t="s">
        <v>1454</v>
      </c>
    </row>
    <row r="728" spans="1:4" x14ac:dyDescent="0.25">
      <c r="A728" t="str">
        <f>"74176"</f>
        <v>74176</v>
      </c>
      <c r="B728" t="s">
        <v>724</v>
      </c>
      <c r="C728" t="str">
        <f>"21.3"</f>
        <v>21.3</v>
      </c>
      <c r="D728" t="s">
        <v>1454</v>
      </c>
    </row>
    <row r="729" spans="1:4" x14ac:dyDescent="0.25">
      <c r="A729" t="str">
        <f>"50660"</f>
        <v>50660</v>
      </c>
      <c r="B729" t="s">
        <v>725</v>
      </c>
      <c r="C729" t="str">
        <f>"25.6"</f>
        <v>25.6</v>
      </c>
      <c r="D729" t="s">
        <v>1454</v>
      </c>
    </row>
    <row r="730" spans="1:4" x14ac:dyDescent="0.25">
      <c r="A730" t="str">
        <f>"9514"</f>
        <v>9514</v>
      </c>
      <c r="B730" t="s">
        <v>726</v>
      </c>
      <c r="C730" t="str">
        <f>"22.1"</f>
        <v>22.1</v>
      </c>
      <c r="D730" t="s">
        <v>1454</v>
      </c>
    </row>
    <row r="731" spans="1:4" x14ac:dyDescent="0.25">
      <c r="A731" t="str">
        <f>"50355"</f>
        <v>50355</v>
      </c>
      <c r="B731" t="s">
        <v>727</v>
      </c>
      <c r="C731" t="str">
        <f>"6.1"</f>
        <v>6.1</v>
      </c>
      <c r="D731" t="s">
        <v>1454</v>
      </c>
    </row>
    <row r="732" spans="1:4" x14ac:dyDescent="0.25">
      <c r="A732" t="str">
        <f>"1011185"</f>
        <v>1011185</v>
      </c>
      <c r="B732" t="s">
        <v>728</v>
      </c>
      <c r="C732" t="s">
        <v>1</v>
      </c>
      <c r="D732" t="s">
        <v>1454</v>
      </c>
    </row>
    <row r="733" spans="1:4" x14ac:dyDescent="0.25">
      <c r="A733" t="str">
        <f>"47431"</f>
        <v>47431</v>
      </c>
      <c r="B733" t="s">
        <v>729</v>
      </c>
      <c r="C733" t="str">
        <f>"19.8"</f>
        <v>19.8</v>
      </c>
      <c r="D733" t="s">
        <v>1454</v>
      </c>
    </row>
    <row r="734" spans="1:4" x14ac:dyDescent="0.25">
      <c r="A734" t="str">
        <f>"12214"</f>
        <v>12214</v>
      </c>
      <c r="B734" t="s">
        <v>730</v>
      </c>
      <c r="C734" t="str">
        <f>"23.8"</f>
        <v>23.8</v>
      </c>
      <c r="D734" t="s">
        <v>1454</v>
      </c>
    </row>
    <row r="735" spans="1:4" x14ac:dyDescent="0.25">
      <c r="A735" t="str">
        <f>"9518"</f>
        <v>9518</v>
      </c>
      <c r="B735" t="s">
        <v>731</v>
      </c>
      <c r="C735" t="str">
        <f>"20.4"</f>
        <v>20.4</v>
      </c>
      <c r="D735" t="s">
        <v>1454</v>
      </c>
    </row>
    <row r="736" spans="1:4" x14ac:dyDescent="0.25">
      <c r="A736" t="str">
        <f>"9519"</f>
        <v>9519</v>
      </c>
      <c r="B736" t="s">
        <v>732</v>
      </c>
      <c r="C736" t="str">
        <f>"0.3"</f>
        <v>0.3</v>
      </c>
      <c r="D736" t="s">
        <v>1454</v>
      </c>
    </row>
    <row r="737" spans="1:4" x14ac:dyDescent="0.25">
      <c r="A737" t="str">
        <f>"29497"</f>
        <v>29497</v>
      </c>
      <c r="B737" t="s">
        <v>733</v>
      </c>
      <c r="C737" t="str">
        <f>"18.8"</f>
        <v>18.8</v>
      </c>
      <c r="D737" t="s">
        <v>1454</v>
      </c>
    </row>
    <row r="738" spans="1:4" x14ac:dyDescent="0.25">
      <c r="A738" t="str">
        <f>"9523"</f>
        <v>9523</v>
      </c>
      <c r="B738" t="s">
        <v>734</v>
      </c>
      <c r="C738" t="str">
        <f>"18.5"</f>
        <v>18.5</v>
      </c>
      <c r="D738" t="s">
        <v>1454</v>
      </c>
    </row>
    <row r="739" spans="1:4" x14ac:dyDescent="0.25">
      <c r="A739" t="str">
        <f>"74112"</f>
        <v>74112</v>
      </c>
      <c r="B739" t="s">
        <v>735</v>
      </c>
      <c r="C739" t="str">
        <f>"25.2"</f>
        <v>25.2</v>
      </c>
      <c r="D739" t="s">
        <v>1454</v>
      </c>
    </row>
    <row r="740" spans="1:4" x14ac:dyDescent="0.25">
      <c r="A740" t="str">
        <f>"9528"</f>
        <v>9528</v>
      </c>
      <c r="B740" t="s">
        <v>736</v>
      </c>
      <c r="C740" t="str">
        <f>"14.5"</f>
        <v>14.5</v>
      </c>
      <c r="D740" t="s">
        <v>1454</v>
      </c>
    </row>
    <row r="741" spans="1:4" x14ac:dyDescent="0.25">
      <c r="A741" t="str">
        <f>"73404"</f>
        <v>73404</v>
      </c>
      <c r="B741" t="s">
        <v>737</v>
      </c>
      <c r="C741" t="str">
        <f>"17.3"</f>
        <v>17.3</v>
      </c>
      <c r="D741" t="s">
        <v>1454</v>
      </c>
    </row>
    <row r="742" spans="1:4" x14ac:dyDescent="0.25">
      <c r="A742" t="str">
        <f>"67808"</f>
        <v>67808</v>
      </c>
      <c r="B742" t="s">
        <v>738</v>
      </c>
      <c r="C742" t="str">
        <f>"14.4"</f>
        <v>14.4</v>
      </c>
      <c r="D742" t="s">
        <v>1454</v>
      </c>
    </row>
    <row r="743" spans="1:4" x14ac:dyDescent="0.25">
      <c r="A743" t="str">
        <f>"77228"</f>
        <v>77228</v>
      </c>
      <c r="B743" t="s">
        <v>739</v>
      </c>
      <c r="C743" t="str">
        <f>"8.4"</f>
        <v>8.4</v>
      </c>
      <c r="D743" t="s">
        <v>1454</v>
      </c>
    </row>
    <row r="744" spans="1:4" x14ac:dyDescent="0.25">
      <c r="A744" t="str">
        <f>"9530"</f>
        <v>9530</v>
      </c>
      <c r="B744" t="s">
        <v>740</v>
      </c>
      <c r="C744" t="str">
        <f>"4.8"</f>
        <v>4.8</v>
      </c>
      <c r="D744" t="s">
        <v>1454</v>
      </c>
    </row>
    <row r="745" spans="1:4" x14ac:dyDescent="0.25">
      <c r="A745" t="str">
        <f>"9531"</f>
        <v>9531</v>
      </c>
      <c r="B745" t="s">
        <v>741</v>
      </c>
      <c r="C745" t="str">
        <f>"13.1"</f>
        <v>13.1</v>
      </c>
      <c r="D745" t="s">
        <v>1454</v>
      </c>
    </row>
    <row r="746" spans="1:4" x14ac:dyDescent="0.25">
      <c r="A746" t="str">
        <f>"1000869"</f>
        <v>1000869</v>
      </c>
      <c r="B746" t="s">
        <v>742</v>
      </c>
      <c r="C746" t="str">
        <f>"18.8"</f>
        <v>18.8</v>
      </c>
      <c r="D746" t="s">
        <v>1454</v>
      </c>
    </row>
    <row r="747" spans="1:4" x14ac:dyDescent="0.25">
      <c r="A747" t="str">
        <f>"65986"</f>
        <v>65986</v>
      </c>
      <c r="B747" t="s">
        <v>743</v>
      </c>
      <c r="C747" t="str">
        <f>"29.5"</f>
        <v>29.5</v>
      </c>
      <c r="D747" t="s">
        <v>1454</v>
      </c>
    </row>
    <row r="748" spans="1:4" x14ac:dyDescent="0.25">
      <c r="A748" t="str">
        <f>"5739"</f>
        <v>5739</v>
      </c>
      <c r="B748" t="s">
        <v>744</v>
      </c>
      <c r="C748" t="str">
        <f>"+0.3"</f>
        <v>+0.3</v>
      </c>
      <c r="D748" t="s">
        <v>1454</v>
      </c>
    </row>
    <row r="749" spans="1:4" x14ac:dyDescent="0.25">
      <c r="A749" t="str">
        <f>"35471"</f>
        <v>35471</v>
      </c>
      <c r="B749" t="s">
        <v>745</v>
      </c>
      <c r="C749" t="str">
        <f>"24.6"</f>
        <v>24.6</v>
      </c>
      <c r="D749" t="s">
        <v>1454</v>
      </c>
    </row>
    <row r="750" spans="1:4" x14ac:dyDescent="0.25">
      <c r="A750" t="str">
        <f>"41034"</f>
        <v>41034</v>
      </c>
      <c r="B750" t="s">
        <v>746</v>
      </c>
      <c r="C750" t="str">
        <f>"14.8"</f>
        <v>14.8</v>
      </c>
      <c r="D750" t="s">
        <v>1454</v>
      </c>
    </row>
    <row r="751" spans="1:4" x14ac:dyDescent="0.25">
      <c r="A751" t="str">
        <f>"1004784"</f>
        <v>1004784</v>
      </c>
      <c r="B751" t="s">
        <v>747</v>
      </c>
      <c r="C751" t="str">
        <f>"21.2"</f>
        <v>21.2</v>
      </c>
      <c r="D751" t="s">
        <v>1454</v>
      </c>
    </row>
    <row r="752" spans="1:4" x14ac:dyDescent="0.25">
      <c r="A752" t="str">
        <f>"47552"</f>
        <v>47552</v>
      </c>
      <c r="B752" t="s">
        <v>748</v>
      </c>
      <c r="C752" t="str">
        <f>"7.1"</f>
        <v>7.1</v>
      </c>
      <c r="D752" t="s">
        <v>1454</v>
      </c>
    </row>
    <row r="753" spans="1:4" x14ac:dyDescent="0.25">
      <c r="A753" t="str">
        <f>"9534"</f>
        <v>9534</v>
      </c>
      <c r="B753" t="s">
        <v>749</v>
      </c>
      <c r="C753" t="str">
        <f>"25.0"</f>
        <v>25.0</v>
      </c>
      <c r="D753" t="s">
        <v>1454</v>
      </c>
    </row>
    <row r="754" spans="1:4" x14ac:dyDescent="0.25">
      <c r="A754" t="str">
        <f>"2005"</f>
        <v>2005</v>
      </c>
      <c r="B754" t="s">
        <v>750</v>
      </c>
      <c r="C754" t="str">
        <f>"12.7"</f>
        <v>12.7</v>
      </c>
      <c r="D754" t="s">
        <v>1454</v>
      </c>
    </row>
    <row r="755" spans="1:4" x14ac:dyDescent="0.25">
      <c r="A755" t="str">
        <f>"10391"</f>
        <v>10391</v>
      </c>
      <c r="B755" t="s">
        <v>751</v>
      </c>
      <c r="C755" t="str">
        <f>"14.7"</f>
        <v>14.7</v>
      </c>
      <c r="D755" t="s">
        <v>1454</v>
      </c>
    </row>
    <row r="756" spans="1:4" x14ac:dyDescent="0.25">
      <c r="A756" t="str">
        <f>"9538"</f>
        <v>9538</v>
      </c>
      <c r="B756" t="s">
        <v>752</v>
      </c>
      <c r="C756" t="str">
        <f>"21.7"</f>
        <v>21.7</v>
      </c>
      <c r="D756" t="s">
        <v>1454</v>
      </c>
    </row>
    <row r="757" spans="1:4" x14ac:dyDescent="0.25">
      <c r="A757" t="str">
        <f>"10676"</f>
        <v>10676</v>
      </c>
      <c r="B757" t="s">
        <v>753</v>
      </c>
      <c r="C757" t="str">
        <f>"24.9"</f>
        <v>24.9</v>
      </c>
      <c r="D757" t="s">
        <v>1454</v>
      </c>
    </row>
    <row r="758" spans="1:4" x14ac:dyDescent="0.25">
      <c r="A758" t="str">
        <f>"48944"</f>
        <v>48944</v>
      </c>
      <c r="B758" t="s">
        <v>754</v>
      </c>
      <c r="C758" t="str">
        <f>"27.3"</f>
        <v>27.3</v>
      </c>
      <c r="D758" t="s">
        <v>1454</v>
      </c>
    </row>
    <row r="759" spans="1:4" x14ac:dyDescent="0.25">
      <c r="A759" t="str">
        <f>"1002459"</f>
        <v>1002459</v>
      </c>
      <c r="B759" t="s">
        <v>755</v>
      </c>
      <c r="C759" t="str">
        <f>"35.9"</f>
        <v>35.9</v>
      </c>
      <c r="D759" t="s">
        <v>1454</v>
      </c>
    </row>
    <row r="760" spans="1:4" x14ac:dyDescent="0.25">
      <c r="A760" t="str">
        <f>"32870"</f>
        <v>32870</v>
      </c>
      <c r="B760" t="s">
        <v>756</v>
      </c>
      <c r="C760" t="str">
        <f>"9.0"</f>
        <v>9.0</v>
      </c>
      <c r="D760" t="s">
        <v>1454</v>
      </c>
    </row>
    <row r="761" spans="1:4" x14ac:dyDescent="0.25">
      <c r="A761" t="str">
        <f>"47516"</f>
        <v>47516</v>
      </c>
      <c r="B761" t="s">
        <v>757</v>
      </c>
      <c r="C761" t="str">
        <f>"11.5"</f>
        <v>11.5</v>
      </c>
      <c r="D761" t="s">
        <v>1454</v>
      </c>
    </row>
    <row r="762" spans="1:4" x14ac:dyDescent="0.25">
      <c r="A762" t="str">
        <f>"70265"</f>
        <v>70265</v>
      </c>
      <c r="B762" t="s">
        <v>758</v>
      </c>
      <c r="C762" t="str">
        <f>"8.8"</f>
        <v>8.8</v>
      </c>
      <c r="D762" t="s">
        <v>1454</v>
      </c>
    </row>
    <row r="763" spans="1:4" x14ac:dyDescent="0.25">
      <c r="A763" t="str">
        <f>"75390"</f>
        <v>75390</v>
      </c>
      <c r="B763" t="s">
        <v>759</v>
      </c>
      <c r="C763" t="str">
        <f>"14.1"</f>
        <v>14.1</v>
      </c>
      <c r="D763" t="s">
        <v>1454</v>
      </c>
    </row>
    <row r="764" spans="1:4" x14ac:dyDescent="0.25">
      <c r="A764" t="str">
        <f>"10755"</f>
        <v>10755</v>
      </c>
      <c r="B764" t="s">
        <v>760</v>
      </c>
      <c r="C764" t="str">
        <f>"9.4"</f>
        <v>9.4</v>
      </c>
      <c r="D764" t="s">
        <v>1454</v>
      </c>
    </row>
    <row r="765" spans="1:4" x14ac:dyDescent="0.25">
      <c r="A765" t="str">
        <f>"9548"</f>
        <v>9548</v>
      </c>
      <c r="B765" t="s">
        <v>761</v>
      </c>
      <c r="C765" t="str">
        <f>"20.9"</f>
        <v>20.9</v>
      </c>
      <c r="D765" t="s">
        <v>1454</v>
      </c>
    </row>
    <row r="766" spans="1:4" x14ac:dyDescent="0.25">
      <c r="A766" t="str">
        <f>"44378"</f>
        <v>44378</v>
      </c>
      <c r="B766" t="s">
        <v>762</v>
      </c>
      <c r="C766" t="str">
        <f>"16.9"</f>
        <v>16.9</v>
      </c>
      <c r="D766" t="s">
        <v>1454</v>
      </c>
    </row>
    <row r="767" spans="1:4" x14ac:dyDescent="0.25">
      <c r="A767" t="str">
        <f>"9549"</f>
        <v>9549</v>
      </c>
      <c r="B767" t="s">
        <v>763</v>
      </c>
      <c r="C767" t="str">
        <f>"14.1"</f>
        <v>14.1</v>
      </c>
      <c r="D767" t="s">
        <v>1454</v>
      </c>
    </row>
    <row r="768" spans="1:4" x14ac:dyDescent="0.25">
      <c r="A768" t="str">
        <f>"10404"</f>
        <v>10404</v>
      </c>
      <c r="B768" t="s">
        <v>764</v>
      </c>
      <c r="C768" t="str">
        <f>"8.7"</f>
        <v>8.7</v>
      </c>
      <c r="D768" t="s">
        <v>1454</v>
      </c>
    </row>
    <row r="769" spans="1:4" x14ac:dyDescent="0.25">
      <c r="A769" t="str">
        <f>"47925"</f>
        <v>47925</v>
      </c>
      <c r="B769" t="s">
        <v>765</v>
      </c>
      <c r="C769" t="str">
        <f>"17.9"</f>
        <v>17.9</v>
      </c>
      <c r="D769" t="s">
        <v>1454</v>
      </c>
    </row>
    <row r="770" spans="1:4" x14ac:dyDescent="0.25">
      <c r="A770" t="str">
        <f>"47347"</f>
        <v>47347</v>
      </c>
      <c r="B770" t="s">
        <v>766</v>
      </c>
      <c r="C770" t="str">
        <f>"14.8"</f>
        <v>14.8</v>
      </c>
      <c r="D770" t="s">
        <v>1454</v>
      </c>
    </row>
    <row r="771" spans="1:4" x14ac:dyDescent="0.25">
      <c r="A771" t="str">
        <f>"49419"</f>
        <v>49419</v>
      </c>
      <c r="B771" t="s">
        <v>767</v>
      </c>
      <c r="C771" t="str">
        <f>"14.9"</f>
        <v>14.9</v>
      </c>
      <c r="D771" t="s">
        <v>1454</v>
      </c>
    </row>
    <row r="772" spans="1:4" x14ac:dyDescent="0.25">
      <c r="A772" t="str">
        <f>"49418"</f>
        <v>49418</v>
      </c>
      <c r="B772" t="s">
        <v>768</v>
      </c>
      <c r="C772" t="str">
        <f>"16.1"</f>
        <v>16.1</v>
      </c>
      <c r="D772" t="s">
        <v>1454</v>
      </c>
    </row>
    <row r="773" spans="1:4" x14ac:dyDescent="0.25">
      <c r="A773" t="str">
        <f>"10807"</f>
        <v>10807</v>
      </c>
      <c r="B773" t="s">
        <v>769</v>
      </c>
      <c r="C773" t="str">
        <f>"15.9"</f>
        <v>15.9</v>
      </c>
      <c r="D773" t="s">
        <v>1454</v>
      </c>
    </row>
    <row r="774" spans="1:4" x14ac:dyDescent="0.25">
      <c r="A774" t="str">
        <f>"49565"</f>
        <v>49565</v>
      </c>
      <c r="B774" t="s">
        <v>770</v>
      </c>
      <c r="C774" t="str">
        <f>"16.8"</f>
        <v>16.8</v>
      </c>
      <c r="D774" t="s">
        <v>1454</v>
      </c>
    </row>
    <row r="775" spans="1:4" x14ac:dyDescent="0.25">
      <c r="A775" t="str">
        <f>"44125"</f>
        <v>44125</v>
      </c>
      <c r="B775" t="s">
        <v>771</v>
      </c>
      <c r="C775" t="str">
        <f>"16.2"</f>
        <v>16.2</v>
      </c>
      <c r="D775" t="s">
        <v>1454</v>
      </c>
    </row>
    <row r="776" spans="1:4" x14ac:dyDescent="0.25">
      <c r="A776" t="str">
        <f>"9564"</f>
        <v>9564</v>
      </c>
      <c r="B776" t="s">
        <v>772</v>
      </c>
      <c r="C776" t="str">
        <f>"20.2"</f>
        <v>20.2</v>
      </c>
      <c r="D776" t="s">
        <v>1454</v>
      </c>
    </row>
    <row r="777" spans="1:4" x14ac:dyDescent="0.25">
      <c r="A777" t="str">
        <f>"9565"</f>
        <v>9565</v>
      </c>
      <c r="B777" t="s">
        <v>773</v>
      </c>
      <c r="C777" t="str">
        <f>"13.2"</f>
        <v>13.2</v>
      </c>
      <c r="D777" t="s">
        <v>1454</v>
      </c>
    </row>
    <row r="778" spans="1:4" x14ac:dyDescent="0.25">
      <c r="A778" t="str">
        <f>"9566"</f>
        <v>9566</v>
      </c>
      <c r="B778" t="s">
        <v>774</v>
      </c>
      <c r="C778" t="str">
        <f>"20.2"</f>
        <v>20.2</v>
      </c>
      <c r="D778" t="s">
        <v>1454</v>
      </c>
    </row>
    <row r="779" spans="1:4" x14ac:dyDescent="0.25">
      <c r="A779" t="str">
        <f>"1006967"</f>
        <v>1006967</v>
      </c>
      <c r="B779" t="s">
        <v>775</v>
      </c>
      <c r="C779" t="str">
        <f>"17.4"</f>
        <v>17.4</v>
      </c>
      <c r="D779" t="s">
        <v>1454</v>
      </c>
    </row>
    <row r="780" spans="1:4" x14ac:dyDescent="0.25">
      <c r="A780" t="str">
        <f>"66360"</f>
        <v>66360</v>
      </c>
      <c r="B780" t="s">
        <v>776</v>
      </c>
      <c r="C780" t="str">
        <f>"15.0"</f>
        <v>15.0</v>
      </c>
      <c r="D780" t="s">
        <v>1454</v>
      </c>
    </row>
    <row r="781" spans="1:4" x14ac:dyDescent="0.25">
      <c r="A781" t="str">
        <f>"72110"</f>
        <v>72110</v>
      </c>
      <c r="B781" t="s">
        <v>777</v>
      </c>
      <c r="C781" t="str">
        <f>"14.4"</f>
        <v>14.4</v>
      </c>
      <c r="D781" t="s">
        <v>1454</v>
      </c>
    </row>
    <row r="782" spans="1:4" x14ac:dyDescent="0.25">
      <c r="A782" t="str">
        <f>"1000064"</f>
        <v>1000064</v>
      </c>
      <c r="B782" t="s">
        <v>778</v>
      </c>
      <c r="C782" t="str">
        <f>"26.6"</f>
        <v>26.6</v>
      </c>
      <c r="D782" t="s">
        <v>1454</v>
      </c>
    </row>
    <row r="783" spans="1:4" x14ac:dyDescent="0.25">
      <c r="A783" t="str">
        <f>"9576"</f>
        <v>9576</v>
      </c>
      <c r="B783" t="s">
        <v>779</v>
      </c>
      <c r="C783" t="str">
        <f>"19.4"</f>
        <v>19.4</v>
      </c>
      <c r="D783" t="s">
        <v>1454</v>
      </c>
    </row>
    <row r="784" spans="1:4" x14ac:dyDescent="0.25">
      <c r="A784" t="str">
        <f>"27370"</f>
        <v>27370</v>
      </c>
      <c r="B784" t="s">
        <v>780</v>
      </c>
      <c r="C784" t="str">
        <f>"17.9"</f>
        <v>17.9</v>
      </c>
      <c r="D784" t="s">
        <v>1454</v>
      </c>
    </row>
    <row r="785" spans="1:4" x14ac:dyDescent="0.25">
      <c r="A785" t="str">
        <f>"1000420"</f>
        <v>1000420</v>
      </c>
      <c r="B785" t="s">
        <v>781</v>
      </c>
      <c r="C785" t="str">
        <f>"24.7"</f>
        <v>24.7</v>
      </c>
      <c r="D785" t="s">
        <v>1454</v>
      </c>
    </row>
    <row r="786" spans="1:4" x14ac:dyDescent="0.25">
      <c r="A786" t="str">
        <f>"9579"</f>
        <v>9579</v>
      </c>
      <c r="B786" t="s">
        <v>782</v>
      </c>
      <c r="C786" t="str">
        <f>"18.7"</f>
        <v>18.7</v>
      </c>
      <c r="D786" t="s">
        <v>1454</v>
      </c>
    </row>
    <row r="787" spans="1:4" x14ac:dyDescent="0.25">
      <c r="A787" t="str">
        <f>"79553"</f>
        <v>79553</v>
      </c>
      <c r="B787" t="s">
        <v>783</v>
      </c>
      <c r="C787" t="str">
        <f>"30.5"</f>
        <v>30.5</v>
      </c>
      <c r="D787" t="s">
        <v>1454</v>
      </c>
    </row>
    <row r="788" spans="1:4" x14ac:dyDescent="0.25">
      <c r="A788" t="str">
        <f>"9580"</f>
        <v>9580</v>
      </c>
      <c r="B788" t="s">
        <v>784</v>
      </c>
      <c r="C788" t="str">
        <f>"34.4"</f>
        <v>34.4</v>
      </c>
      <c r="D788" t="s">
        <v>1454</v>
      </c>
    </row>
    <row r="789" spans="1:4" x14ac:dyDescent="0.25">
      <c r="A789" t="str">
        <f>"71782"</f>
        <v>71782</v>
      </c>
      <c r="B789" t="s">
        <v>785</v>
      </c>
      <c r="C789" t="str">
        <f>"31.8"</f>
        <v>31.8</v>
      </c>
      <c r="D789" t="s">
        <v>1454</v>
      </c>
    </row>
    <row r="790" spans="1:4" x14ac:dyDescent="0.25">
      <c r="A790" t="str">
        <f>"43458"</f>
        <v>43458</v>
      </c>
      <c r="B790" t="s">
        <v>786</v>
      </c>
      <c r="C790" t="str">
        <f>"17.5"</f>
        <v>17.5</v>
      </c>
      <c r="D790" t="s">
        <v>1454</v>
      </c>
    </row>
    <row r="791" spans="1:4" x14ac:dyDescent="0.25">
      <c r="A791" t="str">
        <f>"67790"</f>
        <v>67790</v>
      </c>
      <c r="B791" t="s">
        <v>787</v>
      </c>
      <c r="C791" t="str">
        <f>"19.5"</f>
        <v>19.5</v>
      </c>
      <c r="D791" t="s">
        <v>1454</v>
      </c>
    </row>
    <row r="792" spans="1:4" x14ac:dyDescent="0.25">
      <c r="A792" t="str">
        <f>"79547"</f>
        <v>79547</v>
      </c>
      <c r="B792" t="s">
        <v>788</v>
      </c>
      <c r="C792" t="str">
        <f>"20.8"</f>
        <v>20.8</v>
      </c>
      <c r="D792" t="s">
        <v>1454</v>
      </c>
    </row>
    <row r="793" spans="1:4" x14ac:dyDescent="0.25">
      <c r="A793" t="str">
        <f>"9586"</f>
        <v>9586</v>
      </c>
      <c r="B793" t="s">
        <v>789</v>
      </c>
      <c r="C793" t="str">
        <f>"21.0"</f>
        <v>21.0</v>
      </c>
      <c r="D793" t="s">
        <v>1454</v>
      </c>
    </row>
    <row r="794" spans="1:4" x14ac:dyDescent="0.25">
      <c r="A794" t="str">
        <f>"1002354"</f>
        <v>1002354</v>
      </c>
      <c r="B794" t="s">
        <v>790</v>
      </c>
      <c r="C794" t="str">
        <f>"14.3"</f>
        <v>14.3</v>
      </c>
      <c r="D794" t="s">
        <v>1454</v>
      </c>
    </row>
    <row r="795" spans="1:4" x14ac:dyDescent="0.25">
      <c r="A795" t="str">
        <f>"10712"</f>
        <v>10712</v>
      </c>
      <c r="B795" t="s">
        <v>791</v>
      </c>
      <c r="C795" t="str">
        <f>"7.8"</f>
        <v>7.8</v>
      </c>
      <c r="D795" t="s">
        <v>1454</v>
      </c>
    </row>
    <row r="796" spans="1:4" x14ac:dyDescent="0.25">
      <c r="A796" t="str">
        <f>"67984"</f>
        <v>67984</v>
      </c>
      <c r="B796" t="s">
        <v>792</v>
      </c>
      <c r="C796" t="str">
        <f>"2.0"</f>
        <v>2.0</v>
      </c>
      <c r="D796" t="s">
        <v>1454</v>
      </c>
    </row>
    <row r="797" spans="1:4" x14ac:dyDescent="0.25">
      <c r="A797" t="str">
        <f>"3821"</f>
        <v>3821</v>
      </c>
      <c r="B797" t="s">
        <v>793</v>
      </c>
      <c r="C797" t="str">
        <f>"14.0"</f>
        <v>14.0</v>
      </c>
      <c r="D797" t="s">
        <v>1454</v>
      </c>
    </row>
    <row r="798" spans="1:4" x14ac:dyDescent="0.25">
      <c r="A798" t="str">
        <f>"10663"</f>
        <v>10663</v>
      </c>
      <c r="B798" t="s">
        <v>794</v>
      </c>
      <c r="C798" t="str">
        <f>"15.3"</f>
        <v>15.3</v>
      </c>
      <c r="D798" t="s">
        <v>1454</v>
      </c>
    </row>
    <row r="799" spans="1:4" x14ac:dyDescent="0.25">
      <c r="A799" t="str">
        <f>"9587"</f>
        <v>9587</v>
      </c>
      <c r="B799" t="s">
        <v>795</v>
      </c>
      <c r="C799" t="str">
        <f>"11.1"</f>
        <v>11.1</v>
      </c>
      <c r="D799" t="s">
        <v>1454</v>
      </c>
    </row>
    <row r="800" spans="1:4" x14ac:dyDescent="0.25">
      <c r="A800" t="str">
        <f>"9599"</f>
        <v>9599</v>
      </c>
      <c r="B800" t="s">
        <v>796</v>
      </c>
      <c r="C800" t="str">
        <f>"27.8000"</f>
        <v>27.8000</v>
      </c>
      <c r="D800" t="s">
        <v>1454</v>
      </c>
    </row>
    <row r="801" spans="1:4" x14ac:dyDescent="0.25">
      <c r="A801" t="str">
        <f>"9601"</f>
        <v>9601</v>
      </c>
      <c r="B801" t="s">
        <v>797</v>
      </c>
      <c r="C801" t="str">
        <f>"7.2"</f>
        <v>7.2</v>
      </c>
      <c r="D801" t="s">
        <v>1454</v>
      </c>
    </row>
    <row r="802" spans="1:4" x14ac:dyDescent="0.25">
      <c r="A802" t="str">
        <f>"31225"</f>
        <v>31225</v>
      </c>
      <c r="B802" t="s">
        <v>798</v>
      </c>
      <c r="C802" t="str">
        <f>"7.5"</f>
        <v>7.5</v>
      </c>
      <c r="D802" t="s">
        <v>1454</v>
      </c>
    </row>
    <row r="803" spans="1:4" x14ac:dyDescent="0.25">
      <c r="A803" t="str">
        <f>"31226"</f>
        <v>31226</v>
      </c>
      <c r="B803" t="s">
        <v>799</v>
      </c>
      <c r="C803" t="str">
        <f>"5.1"</f>
        <v>5.1</v>
      </c>
      <c r="D803" t="s">
        <v>1454</v>
      </c>
    </row>
    <row r="804" spans="1:4" x14ac:dyDescent="0.25">
      <c r="A804" t="str">
        <f>"31227"</f>
        <v>31227</v>
      </c>
      <c r="B804" t="s">
        <v>800</v>
      </c>
      <c r="C804" t="str">
        <f>"7.5"</f>
        <v>7.5</v>
      </c>
      <c r="D804" t="s">
        <v>1454</v>
      </c>
    </row>
    <row r="805" spans="1:4" x14ac:dyDescent="0.25">
      <c r="A805" t="str">
        <f>"9609"</f>
        <v>9609</v>
      </c>
      <c r="B805" t="s">
        <v>801</v>
      </c>
      <c r="C805" t="str">
        <f>"9.7"</f>
        <v>9.7</v>
      </c>
      <c r="D805" t="s">
        <v>1454</v>
      </c>
    </row>
    <row r="806" spans="1:4" x14ac:dyDescent="0.25">
      <c r="A806" t="str">
        <f>"9610"</f>
        <v>9610</v>
      </c>
      <c r="B806" t="s">
        <v>802</v>
      </c>
      <c r="C806" t="str">
        <f>"29.1"</f>
        <v>29.1</v>
      </c>
      <c r="D806" t="s">
        <v>1454</v>
      </c>
    </row>
    <row r="807" spans="1:4" x14ac:dyDescent="0.25">
      <c r="A807" t="str">
        <f>"76137"</f>
        <v>76137</v>
      </c>
      <c r="B807" t="s">
        <v>803</v>
      </c>
      <c r="C807" t="str">
        <f>"25.4"</f>
        <v>25.4</v>
      </c>
      <c r="D807" t="s">
        <v>1454</v>
      </c>
    </row>
    <row r="808" spans="1:4" x14ac:dyDescent="0.25">
      <c r="A808" t="str">
        <f>"5658"</f>
        <v>5658</v>
      </c>
      <c r="B808" t="s">
        <v>804</v>
      </c>
      <c r="C808" t="str">
        <f>"15.1"</f>
        <v>15.1</v>
      </c>
      <c r="D808" t="s">
        <v>1454</v>
      </c>
    </row>
    <row r="809" spans="1:4" x14ac:dyDescent="0.25">
      <c r="A809" t="str">
        <f>"9612"</f>
        <v>9612</v>
      </c>
      <c r="B809" t="s">
        <v>805</v>
      </c>
      <c r="C809" t="str">
        <f>"32.3"</f>
        <v>32.3</v>
      </c>
      <c r="D809" t="s">
        <v>1454</v>
      </c>
    </row>
    <row r="810" spans="1:4" x14ac:dyDescent="0.25">
      <c r="A810" t="str">
        <f>"74110"</f>
        <v>74110</v>
      </c>
      <c r="B810" t="s">
        <v>806</v>
      </c>
      <c r="C810" t="str">
        <f>"7.5"</f>
        <v>7.5</v>
      </c>
      <c r="D810" t="s">
        <v>1454</v>
      </c>
    </row>
    <row r="811" spans="1:4" x14ac:dyDescent="0.25">
      <c r="A811" t="str">
        <f>"9613"</f>
        <v>9613</v>
      </c>
      <c r="B811" t="s">
        <v>807</v>
      </c>
      <c r="C811" t="str">
        <f>"19.8"</f>
        <v>19.8</v>
      </c>
      <c r="D811" t="s">
        <v>1454</v>
      </c>
    </row>
    <row r="812" spans="1:4" x14ac:dyDescent="0.25">
      <c r="A812" t="str">
        <f>"1000247"</f>
        <v>1000247</v>
      </c>
      <c r="B812" t="s">
        <v>808</v>
      </c>
      <c r="C812" t="s">
        <v>1</v>
      </c>
      <c r="D812" t="s">
        <v>1454</v>
      </c>
    </row>
    <row r="813" spans="1:4" x14ac:dyDescent="0.25">
      <c r="A813" t="str">
        <f>"9614"</f>
        <v>9614</v>
      </c>
      <c r="B813" t="s">
        <v>809</v>
      </c>
      <c r="C813" t="str">
        <f>"24.5"</f>
        <v>24.5</v>
      </c>
      <c r="D813" t="s">
        <v>1454</v>
      </c>
    </row>
    <row r="814" spans="1:4" x14ac:dyDescent="0.25">
      <c r="A814" t="str">
        <f>"75897"</f>
        <v>75897</v>
      </c>
      <c r="B814" t="s">
        <v>810</v>
      </c>
      <c r="C814" t="str">
        <f>"30.1"</f>
        <v>30.1</v>
      </c>
      <c r="D814" t="s">
        <v>1454</v>
      </c>
    </row>
    <row r="815" spans="1:4" x14ac:dyDescent="0.25">
      <c r="A815" t="str">
        <f>"81331"</f>
        <v>81331</v>
      </c>
      <c r="B815" t="s">
        <v>811</v>
      </c>
      <c r="C815" t="str">
        <f>"13.8"</f>
        <v>13.8</v>
      </c>
      <c r="D815" t="s">
        <v>1454</v>
      </c>
    </row>
    <row r="816" spans="1:4" x14ac:dyDescent="0.25">
      <c r="A816" t="str">
        <f>"60900"</f>
        <v>60900</v>
      </c>
      <c r="B816" t="s">
        <v>812</v>
      </c>
      <c r="C816" t="str">
        <f>"12.6"</f>
        <v>12.6</v>
      </c>
      <c r="D816" t="s">
        <v>1454</v>
      </c>
    </row>
    <row r="817" spans="1:4" x14ac:dyDescent="0.25">
      <c r="A817" t="str">
        <f>"9621"</f>
        <v>9621</v>
      </c>
      <c r="B817" t="s">
        <v>813</v>
      </c>
      <c r="C817" t="str">
        <f>"15.2"</f>
        <v>15.2</v>
      </c>
      <c r="D817" t="s">
        <v>1454</v>
      </c>
    </row>
    <row r="818" spans="1:4" x14ac:dyDescent="0.25">
      <c r="A818" t="str">
        <f>"1010293"</f>
        <v>1010293</v>
      </c>
      <c r="B818" t="s">
        <v>814</v>
      </c>
      <c r="C818" t="s">
        <v>1</v>
      </c>
      <c r="D818" t="s">
        <v>1454</v>
      </c>
    </row>
    <row r="819" spans="1:4" x14ac:dyDescent="0.25">
      <c r="A819" t="str">
        <f>"1002350"</f>
        <v>1002350</v>
      </c>
      <c r="B819" t="s">
        <v>815</v>
      </c>
      <c r="C819" t="str">
        <f>"18.1"</f>
        <v>18.1</v>
      </c>
      <c r="D819" t="s">
        <v>1454</v>
      </c>
    </row>
    <row r="820" spans="1:4" x14ac:dyDescent="0.25">
      <c r="A820" t="str">
        <f>"14875"</f>
        <v>14875</v>
      </c>
      <c r="B820" t="s">
        <v>816</v>
      </c>
      <c r="C820" t="str">
        <f>"20.4"</f>
        <v>20.4</v>
      </c>
      <c r="D820" t="s">
        <v>1454</v>
      </c>
    </row>
    <row r="821" spans="1:4" x14ac:dyDescent="0.25">
      <c r="A821" t="str">
        <f>"1000024"</f>
        <v>1000024</v>
      </c>
      <c r="B821" t="s">
        <v>817</v>
      </c>
      <c r="C821" t="str">
        <f>"19.3"</f>
        <v>19.3</v>
      </c>
      <c r="D821" t="s">
        <v>1454</v>
      </c>
    </row>
    <row r="822" spans="1:4" x14ac:dyDescent="0.25">
      <c r="A822" t="str">
        <f>"9629"</f>
        <v>9629</v>
      </c>
      <c r="B822" t="s">
        <v>818</v>
      </c>
      <c r="C822" t="str">
        <f>"29.4"</f>
        <v>29.4</v>
      </c>
      <c r="D822" t="s">
        <v>1454</v>
      </c>
    </row>
    <row r="823" spans="1:4" x14ac:dyDescent="0.25">
      <c r="A823" t="str">
        <f>"9637"</f>
        <v>9637</v>
      </c>
      <c r="B823" t="s">
        <v>819</v>
      </c>
      <c r="C823" t="str">
        <f>"15.6"</f>
        <v>15.6</v>
      </c>
      <c r="D823" t="s">
        <v>1454</v>
      </c>
    </row>
    <row r="824" spans="1:4" x14ac:dyDescent="0.25">
      <c r="A824" t="str">
        <f>"14867"</f>
        <v>14867</v>
      </c>
      <c r="B824" t="s">
        <v>820</v>
      </c>
      <c r="C824" t="str">
        <f>"18.3"</f>
        <v>18.3</v>
      </c>
      <c r="D824" t="s">
        <v>1454</v>
      </c>
    </row>
    <row r="825" spans="1:4" x14ac:dyDescent="0.25">
      <c r="A825" t="str">
        <f>"38535"</f>
        <v>38535</v>
      </c>
      <c r="B825" t="s">
        <v>821</v>
      </c>
      <c r="C825" t="str">
        <f>"21.2"</f>
        <v>21.2</v>
      </c>
      <c r="D825" t="s">
        <v>1454</v>
      </c>
    </row>
    <row r="826" spans="1:4" x14ac:dyDescent="0.25">
      <c r="A826" t="str">
        <f>"69915"</f>
        <v>69915</v>
      </c>
      <c r="B826" t="s">
        <v>822</v>
      </c>
      <c r="C826" t="str">
        <f>"16.3"</f>
        <v>16.3</v>
      </c>
      <c r="D826" t="s">
        <v>1454</v>
      </c>
    </row>
    <row r="827" spans="1:4" x14ac:dyDescent="0.25">
      <c r="A827" t="str">
        <f>"65944"</f>
        <v>65944</v>
      </c>
      <c r="B827" t="s">
        <v>823</v>
      </c>
      <c r="C827" t="str">
        <f>"21.6"</f>
        <v>21.6</v>
      </c>
      <c r="D827" t="s">
        <v>1454</v>
      </c>
    </row>
    <row r="828" spans="1:4" x14ac:dyDescent="0.25">
      <c r="A828" t="str">
        <f>"56507"</f>
        <v>56507</v>
      </c>
      <c r="B828" t="s">
        <v>824</v>
      </c>
      <c r="C828" t="str">
        <f>"24.3"</f>
        <v>24.3</v>
      </c>
      <c r="D828" t="s">
        <v>1454</v>
      </c>
    </row>
    <row r="829" spans="1:4" x14ac:dyDescent="0.25">
      <c r="A829" t="str">
        <f>"9651"</f>
        <v>9651</v>
      </c>
      <c r="B829" t="s">
        <v>825</v>
      </c>
      <c r="C829" t="str">
        <f>"19.3"</f>
        <v>19.3</v>
      </c>
      <c r="D829" t="s">
        <v>1454</v>
      </c>
    </row>
    <row r="830" spans="1:4" x14ac:dyDescent="0.25">
      <c r="A830" t="str">
        <f>"65584"</f>
        <v>65584</v>
      </c>
      <c r="B830" t="s">
        <v>826</v>
      </c>
      <c r="C830" t="str">
        <f>"14.4"</f>
        <v>14.4</v>
      </c>
      <c r="D830" t="s">
        <v>1454</v>
      </c>
    </row>
    <row r="831" spans="1:4" x14ac:dyDescent="0.25">
      <c r="A831" t="str">
        <f>"75549"</f>
        <v>75549</v>
      </c>
      <c r="B831" t="s">
        <v>827</v>
      </c>
      <c r="C831" t="str">
        <f>"21.4"</f>
        <v>21.4</v>
      </c>
      <c r="D831" t="s">
        <v>1454</v>
      </c>
    </row>
    <row r="832" spans="1:4" x14ac:dyDescent="0.25">
      <c r="A832" t="str">
        <f>"10487"</f>
        <v>10487</v>
      </c>
      <c r="B832" t="s">
        <v>828</v>
      </c>
      <c r="C832" t="str">
        <f>"19.4"</f>
        <v>19.4</v>
      </c>
      <c r="D832" t="s">
        <v>1454</v>
      </c>
    </row>
    <row r="833" spans="1:4" x14ac:dyDescent="0.25">
      <c r="A833" t="str">
        <f>"23254"</f>
        <v>23254</v>
      </c>
      <c r="B833" t="s">
        <v>829</v>
      </c>
      <c r="C833" t="str">
        <f>"17.7"</f>
        <v>17.7</v>
      </c>
      <c r="D833" t="s">
        <v>1454</v>
      </c>
    </row>
    <row r="834" spans="1:4" x14ac:dyDescent="0.25">
      <c r="A834" t="str">
        <f>"9660"</f>
        <v>9660</v>
      </c>
      <c r="B834" t="s">
        <v>830</v>
      </c>
      <c r="C834" t="str">
        <f>"24.2"</f>
        <v>24.2</v>
      </c>
      <c r="D834" t="s">
        <v>1454</v>
      </c>
    </row>
    <row r="835" spans="1:4" x14ac:dyDescent="0.25">
      <c r="A835" t="str">
        <f>"75658"</f>
        <v>75658</v>
      </c>
      <c r="B835" t="s">
        <v>831</v>
      </c>
      <c r="C835" t="str">
        <f>"21.8"</f>
        <v>21.8</v>
      </c>
      <c r="D835" t="s">
        <v>1454</v>
      </c>
    </row>
    <row r="836" spans="1:4" x14ac:dyDescent="0.25">
      <c r="A836" t="str">
        <f>"9662"</f>
        <v>9662</v>
      </c>
      <c r="B836" t="s">
        <v>832</v>
      </c>
      <c r="C836" t="str">
        <f>"28.3"</f>
        <v>28.3</v>
      </c>
      <c r="D836" t="s">
        <v>1454</v>
      </c>
    </row>
    <row r="837" spans="1:4" x14ac:dyDescent="0.25">
      <c r="A837" t="str">
        <f>"76901"</f>
        <v>76901</v>
      </c>
      <c r="B837" t="s">
        <v>833</v>
      </c>
      <c r="C837" t="str">
        <f>"13.7"</f>
        <v>13.7</v>
      </c>
      <c r="D837" t="s">
        <v>1454</v>
      </c>
    </row>
    <row r="838" spans="1:4" x14ac:dyDescent="0.25">
      <c r="A838" t="str">
        <f>"9671"</f>
        <v>9671</v>
      </c>
      <c r="B838" t="s">
        <v>834</v>
      </c>
      <c r="C838" t="str">
        <f>"23.9"</f>
        <v>23.9</v>
      </c>
      <c r="D838" t="s">
        <v>1454</v>
      </c>
    </row>
    <row r="839" spans="1:4" x14ac:dyDescent="0.25">
      <c r="A839" t="str">
        <f>"68488"</f>
        <v>68488</v>
      </c>
      <c r="B839" t="s">
        <v>835</v>
      </c>
      <c r="C839" t="str">
        <f>"16.8"</f>
        <v>16.8</v>
      </c>
      <c r="D839" t="s">
        <v>1454</v>
      </c>
    </row>
    <row r="840" spans="1:4" x14ac:dyDescent="0.25">
      <c r="A840" t="str">
        <f>"39479"</f>
        <v>39479</v>
      </c>
      <c r="B840" t="s">
        <v>836</v>
      </c>
      <c r="C840" t="str">
        <f>"8.7"</f>
        <v>8.7</v>
      </c>
      <c r="D840" t="s">
        <v>1454</v>
      </c>
    </row>
    <row r="841" spans="1:4" x14ac:dyDescent="0.25">
      <c r="A841" t="str">
        <f>"1001757"</f>
        <v>1001757</v>
      </c>
      <c r="B841" t="s">
        <v>837</v>
      </c>
      <c r="C841" t="str">
        <f>"20.0"</f>
        <v>20.0</v>
      </c>
      <c r="D841" t="s">
        <v>1454</v>
      </c>
    </row>
    <row r="842" spans="1:4" x14ac:dyDescent="0.25">
      <c r="A842" t="str">
        <f>"1006723"</f>
        <v>1006723</v>
      </c>
      <c r="B842" t="s">
        <v>838</v>
      </c>
      <c r="C842" t="str">
        <f>"16.4"</f>
        <v>16.4</v>
      </c>
      <c r="D842" t="s">
        <v>1454</v>
      </c>
    </row>
    <row r="843" spans="1:4" x14ac:dyDescent="0.25">
      <c r="A843" t="str">
        <f>"75888"</f>
        <v>75888</v>
      </c>
      <c r="B843" t="s">
        <v>839</v>
      </c>
      <c r="C843" t="str">
        <f>"15.6"</f>
        <v>15.6</v>
      </c>
      <c r="D843" t="s">
        <v>1454</v>
      </c>
    </row>
    <row r="844" spans="1:4" x14ac:dyDescent="0.25">
      <c r="A844" t="str">
        <f>"10289"</f>
        <v>10289</v>
      </c>
      <c r="B844" t="s">
        <v>840</v>
      </c>
      <c r="C844" t="str">
        <f>"19.8"</f>
        <v>19.8</v>
      </c>
      <c r="D844" t="s">
        <v>1454</v>
      </c>
    </row>
    <row r="845" spans="1:4" x14ac:dyDescent="0.25">
      <c r="A845" t="str">
        <f>"9678"</f>
        <v>9678</v>
      </c>
      <c r="B845" t="s">
        <v>841</v>
      </c>
      <c r="C845" t="str">
        <f>"12.0"</f>
        <v>12.0</v>
      </c>
      <c r="D845" t="s">
        <v>1454</v>
      </c>
    </row>
    <row r="846" spans="1:4" x14ac:dyDescent="0.25">
      <c r="A846" t="str">
        <f>"81334"</f>
        <v>81334</v>
      </c>
      <c r="B846" t="s">
        <v>842</v>
      </c>
      <c r="C846" t="str">
        <f>"14.5"</f>
        <v>14.5</v>
      </c>
      <c r="D846" t="s">
        <v>1454</v>
      </c>
    </row>
    <row r="847" spans="1:4" x14ac:dyDescent="0.25">
      <c r="A847" t="str">
        <f>"9682"</f>
        <v>9682</v>
      </c>
      <c r="B847" t="s">
        <v>843</v>
      </c>
      <c r="C847" t="str">
        <f>"22.1"</f>
        <v>22.1</v>
      </c>
      <c r="D847" t="s">
        <v>1454</v>
      </c>
    </row>
    <row r="848" spans="1:4" x14ac:dyDescent="0.25">
      <c r="A848" t="str">
        <f>"1004011"</f>
        <v>1004011</v>
      </c>
      <c r="B848" t="s">
        <v>844</v>
      </c>
      <c r="C848" t="str">
        <f>"23.6"</f>
        <v>23.6</v>
      </c>
      <c r="D848" t="s">
        <v>1454</v>
      </c>
    </row>
    <row r="849" spans="1:4" x14ac:dyDescent="0.25">
      <c r="A849" t="str">
        <f>"75895"</f>
        <v>75895</v>
      </c>
      <c r="B849" t="s">
        <v>845</v>
      </c>
      <c r="C849" t="str">
        <f>"12.5"</f>
        <v>12.5</v>
      </c>
      <c r="D849" t="s">
        <v>1454</v>
      </c>
    </row>
    <row r="850" spans="1:4" x14ac:dyDescent="0.25">
      <c r="A850" t="str">
        <f>"9684"</f>
        <v>9684</v>
      </c>
      <c r="B850" t="s">
        <v>846</v>
      </c>
      <c r="C850" t="str">
        <f>"27.8"</f>
        <v>27.8</v>
      </c>
      <c r="D850" t="s">
        <v>1454</v>
      </c>
    </row>
    <row r="851" spans="1:4" x14ac:dyDescent="0.25">
      <c r="A851" t="str">
        <f>"50800"</f>
        <v>50800</v>
      </c>
      <c r="B851" t="s">
        <v>847</v>
      </c>
      <c r="C851" t="str">
        <f>"20.7"</f>
        <v>20.7</v>
      </c>
      <c r="D851" t="s">
        <v>1454</v>
      </c>
    </row>
    <row r="852" spans="1:4" x14ac:dyDescent="0.25">
      <c r="A852" t="str">
        <f>"75797"</f>
        <v>75797</v>
      </c>
      <c r="B852" t="s">
        <v>848</v>
      </c>
      <c r="C852" t="str">
        <f>"21.5"</f>
        <v>21.5</v>
      </c>
      <c r="D852" t="s">
        <v>1454</v>
      </c>
    </row>
    <row r="853" spans="1:4" x14ac:dyDescent="0.25">
      <c r="A853" t="str">
        <f>"9687"</f>
        <v>9687</v>
      </c>
      <c r="B853" t="s">
        <v>849</v>
      </c>
      <c r="C853" t="str">
        <f>"30.3"</f>
        <v>30.3</v>
      </c>
      <c r="D853" t="s">
        <v>1454</v>
      </c>
    </row>
    <row r="854" spans="1:4" x14ac:dyDescent="0.25">
      <c r="A854" t="str">
        <f>"79613"</f>
        <v>79613</v>
      </c>
      <c r="B854" t="s">
        <v>850</v>
      </c>
      <c r="C854" t="str">
        <f>"20.8"</f>
        <v>20.8</v>
      </c>
      <c r="D854" t="s">
        <v>1454</v>
      </c>
    </row>
    <row r="855" spans="1:4" x14ac:dyDescent="0.25">
      <c r="A855" t="str">
        <f>"10743"</f>
        <v>10743</v>
      </c>
      <c r="B855" t="s">
        <v>851</v>
      </c>
      <c r="C855" t="str">
        <f>"26.3"</f>
        <v>26.3</v>
      </c>
      <c r="D855" t="s">
        <v>1454</v>
      </c>
    </row>
    <row r="856" spans="1:4" x14ac:dyDescent="0.25">
      <c r="A856" t="str">
        <f>"3713"</f>
        <v>3713</v>
      </c>
      <c r="B856" t="s">
        <v>852</v>
      </c>
      <c r="C856" t="str">
        <f>"21.3"</f>
        <v>21.3</v>
      </c>
      <c r="D856" t="s">
        <v>1454</v>
      </c>
    </row>
    <row r="857" spans="1:4" x14ac:dyDescent="0.25">
      <c r="A857" t="str">
        <f>"66538"</f>
        <v>66538</v>
      </c>
      <c r="B857" t="s">
        <v>853</v>
      </c>
      <c r="C857" t="str">
        <f>"22.2"</f>
        <v>22.2</v>
      </c>
      <c r="D857" t="s">
        <v>1454</v>
      </c>
    </row>
    <row r="858" spans="1:4" x14ac:dyDescent="0.25">
      <c r="A858" t="str">
        <f>"9697"</f>
        <v>9697</v>
      </c>
      <c r="B858" t="s">
        <v>854</v>
      </c>
      <c r="C858" t="str">
        <f>"37.8000"</f>
        <v>37.8000</v>
      </c>
      <c r="D858" t="s">
        <v>1454</v>
      </c>
    </row>
    <row r="859" spans="1:4" x14ac:dyDescent="0.25">
      <c r="A859" t="str">
        <f>"9698"</f>
        <v>9698</v>
      </c>
      <c r="B859" t="s">
        <v>855</v>
      </c>
      <c r="C859" t="str">
        <f>"18.8"</f>
        <v>18.8</v>
      </c>
      <c r="D859" t="s">
        <v>1454</v>
      </c>
    </row>
    <row r="860" spans="1:4" x14ac:dyDescent="0.25">
      <c r="A860" t="str">
        <f>"49503"</f>
        <v>49503</v>
      </c>
      <c r="B860" t="s">
        <v>856</v>
      </c>
      <c r="C860" t="str">
        <f>"15.2"</f>
        <v>15.2</v>
      </c>
      <c r="D860" t="s">
        <v>1454</v>
      </c>
    </row>
    <row r="861" spans="1:4" x14ac:dyDescent="0.25">
      <c r="A861" t="str">
        <f>"1007191"</f>
        <v>1007191</v>
      </c>
      <c r="B861" t="s">
        <v>857</v>
      </c>
      <c r="C861" t="str">
        <f>"20.8"</f>
        <v>20.8</v>
      </c>
      <c r="D861" t="s">
        <v>1454</v>
      </c>
    </row>
    <row r="862" spans="1:4" x14ac:dyDescent="0.25">
      <c r="A862" t="str">
        <f>"10508"</f>
        <v>10508</v>
      </c>
      <c r="B862" t="s">
        <v>858</v>
      </c>
      <c r="C862" t="str">
        <f>"26.4"</f>
        <v>26.4</v>
      </c>
      <c r="D862" t="s">
        <v>1454</v>
      </c>
    </row>
    <row r="863" spans="1:4" x14ac:dyDescent="0.25">
      <c r="A863" t="str">
        <f>"44126"</f>
        <v>44126</v>
      </c>
      <c r="B863" t="s">
        <v>859</v>
      </c>
      <c r="C863" t="str">
        <f>"14.0"</f>
        <v>14.0</v>
      </c>
      <c r="D863" t="s">
        <v>1454</v>
      </c>
    </row>
    <row r="864" spans="1:4" x14ac:dyDescent="0.25">
      <c r="A864" t="str">
        <f>"10448"</f>
        <v>10448</v>
      </c>
      <c r="B864" t="s">
        <v>860</v>
      </c>
      <c r="C864" t="str">
        <f>"13.5"</f>
        <v>13.5</v>
      </c>
      <c r="D864" t="s">
        <v>1454</v>
      </c>
    </row>
    <row r="865" spans="1:4" x14ac:dyDescent="0.25">
      <c r="A865" t="str">
        <f>"43015"</f>
        <v>43015</v>
      </c>
      <c r="B865" t="s">
        <v>861</v>
      </c>
      <c r="C865" t="str">
        <f>"10.9"</f>
        <v>10.9</v>
      </c>
      <c r="D865" t="s">
        <v>1454</v>
      </c>
    </row>
    <row r="866" spans="1:4" x14ac:dyDescent="0.25">
      <c r="A866" t="str">
        <f>"76902"</f>
        <v>76902</v>
      </c>
      <c r="B866" t="s">
        <v>862</v>
      </c>
      <c r="C866" t="str">
        <f>"17.0"</f>
        <v>17.0</v>
      </c>
      <c r="D866" t="s">
        <v>1454</v>
      </c>
    </row>
    <row r="867" spans="1:4" x14ac:dyDescent="0.25">
      <c r="A867" t="str">
        <f>"10539"</f>
        <v>10539</v>
      </c>
      <c r="B867" t="s">
        <v>863</v>
      </c>
      <c r="C867" t="str">
        <f>"43.9"</f>
        <v>43.9</v>
      </c>
      <c r="D867" t="s">
        <v>1454</v>
      </c>
    </row>
    <row r="868" spans="1:4" x14ac:dyDescent="0.25">
      <c r="A868" t="str">
        <f>"10517"</f>
        <v>10517</v>
      </c>
      <c r="B868" t="s">
        <v>864</v>
      </c>
      <c r="C868" t="str">
        <f>"18.5"</f>
        <v>18.5</v>
      </c>
      <c r="D868" t="s">
        <v>1454</v>
      </c>
    </row>
    <row r="869" spans="1:4" x14ac:dyDescent="0.25">
      <c r="A869" t="str">
        <f>"25700"</f>
        <v>25700</v>
      </c>
      <c r="B869" t="s">
        <v>865</v>
      </c>
      <c r="C869" t="str">
        <f>"21.8"</f>
        <v>21.8</v>
      </c>
      <c r="D869" t="s">
        <v>1454</v>
      </c>
    </row>
    <row r="870" spans="1:4" x14ac:dyDescent="0.25">
      <c r="A870" t="str">
        <f>"1009446"</f>
        <v>1009446</v>
      </c>
      <c r="B870" t="s">
        <v>866</v>
      </c>
      <c r="C870" t="str">
        <f>"11.3"</f>
        <v>11.3</v>
      </c>
      <c r="D870" t="s">
        <v>1454</v>
      </c>
    </row>
    <row r="871" spans="1:4" x14ac:dyDescent="0.25">
      <c r="A871" t="str">
        <f>"50112"</f>
        <v>50112</v>
      </c>
      <c r="B871" t="s">
        <v>867</v>
      </c>
      <c r="C871" t="str">
        <f>"6.0"</f>
        <v>6.0</v>
      </c>
      <c r="D871" t="s">
        <v>1454</v>
      </c>
    </row>
    <row r="872" spans="1:4" x14ac:dyDescent="0.25">
      <c r="A872" t="str">
        <f>"75388"</f>
        <v>75388</v>
      </c>
      <c r="B872" t="s">
        <v>868</v>
      </c>
      <c r="C872" t="str">
        <f>"24.4"</f>
        <v>24.4</v>
      </c>
      <c r="D872" t="s">
        <v>1454</v>
      </c>
    </row>
    <row r="873" spans="1:4" x14ac:dyDescent="0.25">
      <c r="A873" t="str">
        <f>"9719"</f>
        <v>9719</v>
      </c>
      <c r="B873" t="s">
        <v>869</v>
      </c>
      <c r="C873" t="str">
        <f>"25.1"</f>
        <v>25.1</v>
      </c>
      <c r="D873" t="s">
        <v>1454</v>
      </c>
    </row>
    <row r="874" spans="1:4" x14ac:dyDescent="0.25">
      <c r="A874" t="str">
        <f>"9720"</f>
        <v>9720</v>
      </c>
      <c r="B874" t="s">
        <v>870</v>
      </c>
      <c r="C874" t="str">
        <f>"17.3"</f>
        <v>17.3</v>
      </c>
      <c r="D874" t="s">
        <v>1454</v>
      </c>
    </row>
    <row r="875" spans="1:4" x14ac:dyDescent="0.25">
      <c r="A875" t="str">
        <f>"49610"</f>
        <v>49610</v>
      </c>
      <c r="B875" t="s">
        <v>871</v>
      </c>
      <c r="C875" t="str">
        <f>"10.2"</f>
        <v>10.2</v>
      </c>
      <c r="D875" t="s">
        <v>1454</v>
      </c>
    </row>
    <row r="876" spans="1:4" x14ac:dyDescent="0.25">
      <c r="A876" t="str">
        <f>"76481"</f>
        <v>76481</v>
      </c>
      <c r="B876" t="s">
        <v>872</v>
      </c>
      <c r="C876" t="str">
        <f>"4.5"</f>
        <v>4.5</v>
      </c>
      <c r="D876" t="s">
        <v>1454</v>
      </c>
    </row>
    <row r="877" spans="1:4" x14ac:dyDescent="0.25">
      <c r="A877" t="str">
        <f>"10257"</f>
        <v>10257</v>
      </c>
      <c r="B877" t="s">
        <v>873</v>
      </c>
      <c r="C877" t="str">
        <f>"4.6"</f>
        <v>4.6</v>
      </c>
      <c r="D877" t="s">
        <v>1454</v>
      </c>
    </row>
    <row r="878" spans="1:4" x14ac:dyDescent="0.25">
      <c r="A878" t="str">
        <f>"9724"</f>
        <v>9724</v>
      </c>
      <c r="B878" t="s">
        <v>874</v>
      </c>
      <c r="C878" t="str">
        <f>"10.6"</f>
        <v>10.6</v>
      </c>
      <c r="D878" t="s">
        <v>1454</v>
      </c>
    </row>
    <row r="879" spans="1:4" x14ac:dyDescent="0.25">
      <c r="A879" t="str">
        <f>"9725"</f>
        <v>9725</v>
      </c>
      <c r="B879" t="s">
        <v>875</v>
      </c>
      <c r="C879" t="str">
        <f>"18.9"</f>
        <v>18.9</v>
      </c>
      <c r="D879" t="s">
        <v>1454</v>
      </c>
    </row>
    <row r="880" spans="1:4" x14ac:dyDescent="0.25">
      <c r="A880" t="str">
        <f>"66854"</f>
        <v>66854</v>
      </c>
      <c r="B880" t="s">
        <v>876</v>
      </c>
      <c r="C880" t="str">
        <f>"25.4"</f>
        <v>25.4</v>
      </c>
      <c r="D880" t="s">
        <v>1454</v>
      </c>
    </row>
    <row r="881" spans="1:4" x14ac:dyDescent="0.25">
      <c r="A881" t="str">
        <f>"10272"</f>
        <v>10272</v>
      </c>
      <c r="B881" t="s">
        <v>877</v>
      </c>
      <c r="C881" t="str">
        <f>"6.6"</f>
        <v>6.6</v>
      </c>
      <c r="D881" t="s">
        <v>1454</v>
      </c>
    </row>
    <row r="882" spans="1:4" x14ac:dyDescent="0.25">
      <c r="A882" t="str">
        <f>"9729"</f>
        <v>9729</v>
      </c>
      <c r="B882" t="s">
        <v>878</v>
      </c>
      <c r="C882" t="str">
        <f>"26.2"</f>
        <v>26.2</v>
      </c>
      <c r="D882" t="s">
        <v>1454</v>
      </c>
    </row>
    <row r="883" spans="1:4" x14ac:dyDescent="0.25">
      <c r="A883" t="str">
        <f>"10815"</f>
        <v>10815</v>
      </c>
      <c r="B883" t="s">
        <v>879</v>
      </c>
      <c r="C883" t="str">
        <f>"3.5"</f>
        <v>3.5</v>
      </c>
      <c r="D883" t="s">
        <v>1454</v>
      </c>
    </row>
    <row r="884" spans="1:4" x14ac:dyDescent="0.25">
      <c r="A884" t="str">
        <f>"9732"</f>
        <v>9732</v>
      </c>
      <c r="B884" t="s">
        <v>880</v>
      </c>
      <c r="C884" t="str">
        <f>"12.3"</f>
        <v>12.3</v>
      </c>
      <c r="D884" t="s">
        <v>1454</v>
      </c>
    </row>
    <row r="885" spans="1:4" x14ac:dyDescent="0.25">
      <c r="A885" t="str">
        <f>"20242"</f>
        <v>20242</v>
      </c>
      <c r="B885" t="s">
        <v>881</v>
      </c>
      <c r="C885" t="str">
        <f>"9.7"</f>
        <v>9.7</v>
      </c>
      <c r="D885" t="s">
        <v>1454</v>
      </c>
    </row>
    <row r="886" spans="1:4" x14ac:dyDescent="0.25">
      <c r="A886" t="str">
        <f>"39733"</f>
        <v>39733</v>
      </c>
      <c r="B886" t="s">
        <v>882</v>
      </c>
      <c r="C886" t="str">
        <f>"14.4"</f>
        <v>14.4</v>
      </c>
      <c r="D886" t="s">
        <v>1454</v>
      </c>
    </row>
    <row r="887" spans="1:4" x14ac:dyDescent="0.25">
      <c r="A887" t="str">
        <f>"22158"</f>
        <v>22158</v>
      </c>
      <c r="B887" t="s">
        <v>883</v>
      </c>
      <c r="C887" t="str">
        <f>"17.0"</f>
        <v>17.0</v>
      </c>
      <c r="D887" t="s">
        <v>1454</v>
      </c>
    </row>
    <row r="888" spans="1:4" x14ac:dyDescent="0.25">
      <c r="A888" t="str">
        <f>"9739"</f>
        <v>9739</v>
      </c>
      <c r="B888" t="s">
        <v>884</v>
      </c>
      <c r="C888" t="str">
        <f>"21.3"</f>
        <v>21.3</v>
      </c>
      <c r="D888" t="s">
        <v>1454</v>
      </c>
    </row>
    <row r="889" spans="1:4" x14ac:dyDescent="0.25">
      <c r="A889" t="str">
        <f>"1005637"</f>
        <v>1005637</v>
      </c>
      <c r="B889" t="s">
        <v>885</v>
      </c>
      <c r="C889" t="str">
        <f>"22.5"</f>
        <v>22.5</v>
      </c>
      <c r="D889" t="s">
        <v>1454</v>
      </c>
    </row>
    <row r="890" spans="1:4" x14ac:dyDescent="0.25">
      <c r="A890" t="str">
        <f>"9744"</f>
        <v>9744</v>
      </c>
      <c r="B890" t="s">
        <v>886</v>
      </c>
      <c r="C890" t="str">
        <f>"15.6"</f>
        <v>15.6</v>
      </c>
      <c r="D890" t="s">
        <v>1454</v>
      </c>
    </row>
    <row r="891" spans="1:4" x14ac:dyDescent="0.25">
      <c r="A891" t="str">
        <f>"77567"</f>
        <v>77567</v>
      </c>
      <c r="B891" t="s">
        <v>887</v>
      </c>
      <c r="C891" t="str">
        <f>"19.7"</f>
        <v>19.7</v>
      </c>
      <c r="D891" t="s">
        <v>1454</v>
      </c>
    </row>
    <row r="892" spans="1:4" x14ac:dyDescent="0.25">
      <c r="A892" t="str">
        <f>"9746"</f>
        <v>9746</v>
      </c>
      <c r="B892" t="s">
        <v>888</v>
      </c>
      <c r="C892" t="str">
        <f>"13.1"</f>
        <v>13.1</v>
      </c>
      <c r="D892" t="s">
        <v>1454</v>
      </c>
    </row>
    <row r="893" spans="1:4" x14ac:dyDescent="0.25">
      <c r="A893" t="str">
        <f>"9749"</f>
        <v>9749</v>
      </c>
      <c r="B893" t="s">
        <v>889</v>
      </c>
      <c r="C893" t="str">
        <f>"7.4"</f>
        <v>7.4</v>
      </c>
      <c r="D893" t="s">
        <v>1454</v>
      </c>
    </row>
    <row r="894" spans="1:4" x14ac:dyDescent="0.25">
      <c r="A894" t="str">
        <f>"73798"</f>
        <v>73798</v>
      </c>
      <c r="B894" t="s">
        <v>890</v>
      </c>
      <c r="C894" t="str">
        <f>"18.1"</f>
        <v>18.1</v>
      </c>
      <c r="D894" t="s">
        <v>1454</v>
      </c>
    </row>
    <row r="895" spans="1:4" x14ac:dyDescent="0.25">
      <c r="A895" t="str">
        <f>"9750"</f>
        <v>9750</v>
      </c>
      <c r="B895" t="s">
        <v>891</v>
      </c>
      <c r="C895" t="str">
        <f>"15.5"</f>
        <v>15.5</v>
      </c>
      <c r="D895" t="s">
        <v>1454</v>
      </c>
    </row>
    <row r="896" spans="1:4" x14ac:dyDescent="0.25">
      <c r="A896" t="str">
        <f>"9751"</f>
        <v>9751</v>
      </c>
      <c r="B896" t="s">
        <v>892</v>
      </c>
      <c r="C896" t="str">
        <f>"21.0"</f>
        <v>21.0</v>
      </c>
      <c r="D896" t="s">
        <v>1454</v>
      </c>
    </row>
    <row r="897" spans="1:4" x14ac:dyDescent="0.25">
      <c r="A897" t="str">
        <f>"1004045"</f>
        <v>1004045</v>
      </c>
      <c r="B897" t="s">
        <v>893</v>
      </c>
      <c r="C897" t="str">
        <f>"12.0"</f>
        <v>12.0</v>
      </c>
      <c r="D897" t="s">
        <v>1454</v>
      </c>
    </row>
    <row r="898" spans="1:4" x14ac:dyDescent="0.25">
      <c r="A898" t="str">
        <f>"9753"</f>
        <v>9753</v>
      </c>
      <c r="B898" t="s">
        <v>894</v>
      </c>
      <c r="C898" t="str">
        <f>"5.0"</f>
        <v>5.0</v>
      </c>
      <c r="D898" t="s">
        <v>1454</v>
      </c>
    </row>
    <row r="899" spans="1:4" x14ac:dyDescent="0.25">
      <c r="A899" t="str">
        <f>"50306"</f>
        <v>50306</v>
      </c>
      <c r="B899" t="s">
        <v>895</v>
      </c>
      <c r="C899" t="str">
        <f>"6.5"</f>
        <v>6.5</v>
      </c>
      <c r="D899" t="s">
        <v>1454</v>
      </c>
    </row>
    <row r="900" spans="1:4" x14ac:dyDescent="0.25">
      <c r="A900" t="str">
        <f>"69997"</f>
        <v>69997</v>
      </c>
      <c r="B900" t="s">
        <v>896</v>
      </c>
      <c r="C900" t="str">
        <f>"10.1"</f>
        <v>10.1</v>
      </c>
      <c r="D900" t="s">
        <v>1454</v>
      </c>
    </row>
    <row r="901" spans="1:4" x14ac:dyDescent="0.25">
      <c r="A901" t="str">
        <f>"10784"</f>
        <v>10784</v>
      </c>
      <c r="B901" t="s">
        <v>897</v>
      </c>
      <c r="C901" t="str">
        <f>"8.6"</f>
        <v>8.6</v>
      </c>
      <c r="D901" t="s">
        <v>1454</v>
      </c>
    </row>
    <row r="902" spans="1:4" x14ac:dyDescent="0.25">
      <c r="A902" t="str">
        <f>"10544"</f>
        <v>10544</v>
      </c>
      <c r="B902" t="s">
        <v>898</v>
      </c>
      <c r="C902" t="str">
        <f>"10.8"</f>
        <v>10.8</v>
      </c>
      <c r="D902" t="s">
        <v>1454</v>
      </c>
    </row>
    <row r="903" spans="1:4" x14ac:dyDescent="0.25">
      <c r="A903" t="str">
        <f>"9763"</f>
        <v>9763</v>
      </c>
      <c r="B903" t="s">
        <v>899</v>
      </c>
      <c r="C903" t="str">
        <f>"23.5"</f>
        <v>23.5</v>
      </c>
      <c r="D903" t="s">
        <v>1454</v>
      </c>
    </row>
    <row r="904" spans="1:4" x14ac:dyDescent="0.25">
      <c r="A904" t="str">
        <f>"9764"</f>
        <v>9764</v>
      </c>
      <c r="B904" t="s">
        <v>900</v>
      </c>
      <c r="C904" t="str">
        <f>"26.6"</f>
        <v>26.6</v>
      </c>
      <c r="D904" t="s">
        <v>1454</v>
      </c>
    </row>
    <row r="905" spans="1:4" x14ac:dyDescent="0.25">
      <c r="A905" t="str">
        <f>"9766"</f>
        <v>9766</v>
      </c>
      <c r="B905" t="s">
        <v>901</v>
      </c>
      <c r="C905" t="str">
        <f>"19.1"</f>
        <v>19.1</v>
      </c>
      <c r="D905" t="s">
        <v>1454</v>
      </c>
    </row>
    <row r="906" spans="1:4" x14ac:dyDescent="0.25">
      <c r="A906" t="str">
        <f>"9767"</f>
        <v>9767</v>
      </c>
      <c r="B906" t="s">
        <v>902</v>
      </c>
      <c r="C906" t="str">
        <f>"27.9"</f>
        <v>27.9</v>
      </c>
      <c r="D906" t="s">
        <v>1454</v>
      </c>
    </row>
    <row r="907" spans="1:4" x14ac:dyDescent="0.25">
      <c r="A907" t="str">
        <f>"1002460"</f>
        <v>1002460</v>
      </c>
      <c r="B907" t="s">
        <v>903</v>
      </c>
      <c r="C907" t="str">
        <f>"42.0"</f>
        <v>42.0</v>
      </c>
      <c r="D907" t="s">
        <v>1454</v>
      </c>
    </row>
    <row r="908" spans="1:4" x14ac:dyDescent="0.25">
      <c r="A908" t="str">
        <f>"74619"</f>
        <v>74619</v>
      </c>
      <c r="B908" t="s">
        <v>904</v>
      </c>
      <c r="C908" t="str">
        <f>"7.9"</f>
        <v>7.9</v>
      </c>
      <c r="D908" t="s">
        <v>1454</v>
      </c>
    </row>
    <row r="909" spans="1:4" x14ac:dyDescent="0.25">
      <c r="A909" t="str">
        <f>"8405"</f>
        <v>8405</v>
      </c>
      <c r="B909" t="s">
        <v>905</v>
      </c>
      <c r="C909" t="str">
        <f>"10.7"</f>
        <v>10.7</v>
      </c>
      <c r="D909" t="s">
        <v>1454</v>
      </c>
    </row>
    <row r="910" spans="1:4" x14ac:dyDescent="0.25">
      <c r="A910" t="str">
        <f>"49749"</f>
        <v>49749</v>
      </c>
      <c r="B910" t="s">
        <v>906</v>
      </c>
      <c r="C910" t="str">
        <f>"12.1"</f>
        <v>12.1</v>
      </c>
      <c r="D910" t="s">
        <v>1454</v>
      </c>
    </row>
    <row r="911" spans="1:4" x14ac:dyDescent="0.25">
      <c r="A911" t="str">
        <f>"75198"</f>
        <v>75198</v>
      </c>
      <c r="B911" t="s">
        <v>907</v>
      </c>
      <c r="C911" t="str">
        <f>"14.4"</f>
        <v>14.4</v>
      </c>
      <c r="D911" t="s">
        <v>1454</v>
      </c>
    </row>
    <row r="912" spans="1:4" x14ac:dyDescent="0.25">
      <c r="A912" t="str">
        <f>"9781"</f>
        <v>9781</v>
      </c>
      <c r="B912" t="s">
        <v>908</v>
      </c>
      <c r="C912" t="str">
        <f>"30.4"</f>
        <v>30.4</v>
      </c>
      <c r="D912" t="s">
        <v>1454</v>
      </c>
    </row>
    <row r="913" spans="1:4" x14ac:dyDescent="0.25">
      <c r="A913" t="str">
        <f>"10422"</f>
        <v>10422</v>
      </c>
      <c r="B913" t="s">
        <v>909</v>
      </c>
      <c r="C913" t="str">
        <f>"30.4"</f>
        <v>30.4</v>
      </c>
      <c r="D913" t="s">
        <v>1454</v>
      </c>
    </row>
    <row r="914" spans="1:4" x14ac:dyDescent="0.25">
      <c r="A914" t="str">
        <f>"69041"</f>
        <v>69041</v>
      </c>
      <c r="B914" t="s">
        <v>910</v>
      </c>
      <c r="C914" t="str">
        <f>"20.7"</f>
        <v>20.7</v>
      </c>
      <c r="D914" t="s">
        <v>1454</v>
      </c>
    </row>
    <row r="915" spans="1:4" x14ac:dyDescent="0.25">
      <c r="A915" t="str">
        <f>"39940"</f>
        <v>39940</v>
      </c>
      <c r="B915" t="s">
        <v>911</v>
      </c>
      <c r="C915" t="str">
        <f>"18.3"</f>
        <v>18.3</v>
      </c>
      <c r="D915" t="s">
        <v>1454</v>
      </c>
    </row>
    <row r="916" spans="1:4" x14ac:dyDescent="0.25">
      <c r="A916" t="str">
        <f>"50843"</f>
        <v>50843</v>
      </c>
      <c r="B916" t="s">
        <v>912</v>
      </c>
      <c r="C916" t="str">
        <f>"21.3"</f>
        <v>21.3</v>
      </c>
      <c r="D916" t="s">
        <v>1454</v>
      </c>
    </row>
    <row r="917" spans="1:4" x14ac:dyDescent="0.25">
      <c r="A917" t="str">
        <f>"9791"</f>
        <v>9791</v>
      </c>
      <c r="B917" t="s">
        <v>913</v>
      </c>
      <c r="C917" t="str">
        <f>"14.3"</f>
        <v>14.3</v>
      </c>
      <c r="D917" t="s">
        <v>1454</v>
      </c>
    </row>
    <row r="918" spans="1:4" x14ac:dyDescent="0.25">
      <c r="A918" t="str">
        <f>"9792"</f>
        <v>9792</v>
      </c>
      <c r="B918" t="s">
        <v>914</v>
      </c>
      <c r="C918" t="str">
        <f>"6.4"</f>
        <v>6.4</v>
      </c>
      <c r="D918" t="s">
        <v>1454</v>
      </c>
    </row>
    <row r="919" spans="1:4" x14ac:dyDescent="0.25">
      <c r="A919" t="str">
        <f>"47414"</f>
        <v>47414</v>
      </c>
      <c r="B919" t="s">
        <v>915</v>
      </c>
      <c r="C919" t="str">
        <f>"13.4"</f>
        <v>13.4</v>
      </c>
      <c r="D919" t="s">
        <v>1454</v>
      </c>
    </row>
    <row r="920" spans="1:4" x14ac:dyDescent="0.25">
      <c r="A920" t="str">
        <f>"76320"</f>
        <v>76320</v>
      </c>
      <c r="B920" t="s">
        <v>916</v>
      </c>
      <c r="C920" t="str">
        <f>"9.1"</f>
        <v>9.1</v>
      </c>
      <c r="D920" t="s">
        <v>1454</v>
      </c>
    </row>
    <row r="921" spans="1:4" x14ac:dyDescent="0.25">
      <c r="A921" t="str">
        <f>"23027"</f>
        <v>23027</v>
      </c>
      <c r="B921" t="s">
        <v>917</v>
      </c>
      <c r="C921" t="str">
        <f>"10.7"</f>
        <v>10.7</v>
      </c>
      <c r="D921" t="s">
        <v>1454</v>
      </c>
    </row>
    <row r="922" spans="1:4" x14ac:dyDescent="0.25">
      <c r="A922" t="str">
        <f>"69914"</f>
        <v>69914</v>
      </c>
      <c r="B922" t="s">
        <v>918</v>
      </c>
      <c r="C922" t="str">
        <f>"7.8"</f>
        <v>7.8</v>
      </c>
      <c r="D922" t="s">
        <v>1454</v>
      </c>
    </row>
    <row r="923" spans="1:4" x14ac:dyDescent="0.25">
      <c r="A923" t="str">
        <f>"9794"</f>
        <v>9794</v>
      </c>
      <c r="B923" t="s">
        <v>919</v>
      </c>
      <c r="C923" t="str">
        <f>"18.5"</f>
        <v>18.5</v>
      </c>
      <c r="D923" t="s">
        <v>1454</v>
      </c>
    </row>
    <row r="924" spans="1:4" x14ac:dyDescent="0.25">
      <c r="A924" t="str">
        <f>"38745"</f>
        <v>38745</v>
      </c>
      <c r="B924" t="s">
        <v>920</v>
      </c>
      <c r="C924" t="str">
        <f>"15.6"</f>
        <v>15.6</v>
      </c>
      <c r="D924" t="s">
        <v>1454</v>
      </c>
    </row>
    <row r="925" spans="1:4" x14ac:dyDescent="0.25">
      <c r="A925" t="str">
        <f>"9797"</f>
        <v>9797</v>
      </c>
      <c r="B925" t="s">
        <v>921</v>
      </c>
      <c r="C925" t="str">
        <f>"13.5"</f>
        <v>13.5</v>
      </c>
      <c r="D925" t="s">
        <v>1454</v>
      </c>
    </row>
    <row r="926" spans="1:4" x14ac:dyDescent="0.25">
      <c r="A926" t="str">
        <f>"10214"</f>
        <v>10214</v>
      </c>
      <c r="B926" t="s">
        <v>922</v>
      </c>
      <c r="C926" t="str">
        <f>"7.5"</f>
        <v>7.5</v>
      </c>
      <c r="D926" t="s">
        <v>1454</v>
      </c>
    </row>
    <row r="927" spans="1:4" x14ac:dyDescent="0.25">
      <c r="A927" t="str">
        <f>"9799"</f>
        <v>9799</v>
      </c>
      <c r="B927" t="s">
        <v>923</v>
      </c>
      <c r="C927" t="str">
        <f>"2.0"</f>
        <v>2.0</v>
      </c>
      <c r="D927" t="s">
        <v>1454</v>
      </c>
    </row>
    <row r="928" spans="1:4" x14ac:dyDescent="0.25">
      <c r="A928" t="str">
        <f>"45982"</f>
        <v>45982</v>
      </c>
      <c r="B928" t="s">
        <v>924</v>
      </c>
      <c r="C928" t="str">
        <f>"17.3"</f>
        <v>17.3</v>
      </c>
      <c r="D928" t="s">
        <v>1454</v>
      </c>
    </row>
    <row r="929" spans="1:4" x14ac:dyDescent="0.25">
      <c r="A929" t="str">
        <f>"9806"</f>
        <v>9806</v>
      </c>
      <c r="B929" t="s">
        <v>925</v>
      </c>
      <c r="C929" t="str">
        <f>"17.6"</f>
        <v>17.6</v>
      </c>
      <c r="D929" t="s">
        <v>1454</v>
      </c>
    </row>
    <row r="930" spans="1:4" x14ac:dyDescent="0.25">
      <c r="A930" t="str">
        <f>"49281"</f>
        <v>49281</v>
      </c>
      <c r="B930" t="s">
        <v>926</v>
      </c>
      <c r="C930" t="str">
        <f>"13.0"</f>
        <v>13.0</v>
      </c>
      <c r="D930" t="s">
        <v>1454</v>
      </c>
    </row>
    <row r="931" spans="1:4" x14ac:dyDescent="0.25">
      <c r="A931" t="str">
        <f>"10303"</f>
        <v>10303</v>
      </c>
      <c r="B931" t="s">
        <v>927</v>
      </c>
      <c r="C931" t="str">
        <f>"15.4"</f>
        <v>15.4</v>
      </c>
      <c r="D931" t="s">
        <v>1454</v>
      </c>
    </row>
    <row r="932" spans="1:4" x14ac:dyDescent="0.25">
      <c r="A932" t="str">
        <f>"9807"</f>
        <v>9807</v>
      </c>
      <c r="B932" t="s">
        <v>928</v>
      </c>
      <c r="C932" t="str">
        <f>"23.0"</f>
        <v>23.0</v>
      </c>
      <c r="D932" t="s">
        <v>1454</v>
      </c>
    </row>
    <row r="933" spans="1:4" x14ac:dyDescent="0.25">
      <c r="A933" t="str">
        <f>"1000419"</f>
        <v>1000419</v>
      </c>
      <c r="B933" t="s">
        <v>929</v>
      </c>
      <c r="C933" t="str">
        <f>"13.4"</f>
        <v>13.4</v>
      </c>
      <c r="D933" t="s">
        <v>1454</v>
      </c>
    </row>
    <row r="934" spans="1:4" x14ac:dyDescent="0.25">
      <c r="A934" t="str">
        <f>"65484"</f>
        <v>65484</v>
      </c>
      <c r="B934" t="s">
        <v>930</v>
      </c>
      <c r="C934" t="str">
        <f>"10.7"</f>
        <v>10.7</v>
      </c>
      <c r="D934" t="s">
        <v>1454</v>
      </c>
    </row>
    <row r="935" spans="1:4" x14ac:dyDescent="0.25">
      <c r="A935" t="str">
        <f>"33019"</f>
        <v>33019</v>
      </c>
      <c r="B935" t="s">
        <v>931</v>
      </c>
      <c r="C935" t="str">
        <f>"9.9"</f>
        <v>9.9</v>
      </c>
      <c r="D935" t="s">
        <v>1454</v>
      </c>
    </row>
    <row r="936" spans="1:4" x14ac:dyDescent="0.25">
      <c r="A936" t="str">
        <f>"64063"</f>
        <v>64063</v>
      </c>
      <c r="B936" t="s">
        <v>932</v>
      </c>
      <c r="C936" t="str">
        <f>"2.1"</f>
        <v>2.1</v>
      </c>
      <c r="D936" t="s">
        <v>1454</v>
      </c>
    </row>
    <row r="937" spans="1:4" x14ac:dyDescent="0.25">
      <c r="A937" t="str">
        <f>"9811"</f>
        <v>9811</v>
      </c>
      <c r="B937" t="s">
        <v>933</v>
      </c>
      <c r="C937" t="str">
        <f>"25.3000"</f>
        <v>25.3000</v>
      </c>
      <c r="D937" t="s">
        <v>1454</v>
      </c>
    </row>
    <row r="938" spans="1:4" x14ac:dyDescent="0.25">
      <c r="A938" t="str">
        <f>"9812"</f>
        <v>9812</v>
      </c>
      <c r="B938" t="s">
        <v>934</v>
      </c>
      <c r="C938" t="str">
        <f>"0.8"</f>
        <v>0.8</v>
      </c>
      <c r="D938" t="s">
        <v>1454</v>
      </c>
    </row>
    <row r="939" spans="1:4" x14ac:dyDescent="0.25">
      <c r="A939" t="str">
        <f>"29561"</f>
        <v>29561</v>
      </c>
      <c r="B939" t="s">
        <v>935</v>
      </c>
      <c r="C939" t="str">
        <f>"11.6"</f>
        <v>11.6</v>
      </c>
      <c r="D939" t="s">
        <v>1454</v>
      </c>
    </row>
    <row r="940" spans="1:4" x14ac:dyDescent="0.25">
      <c r="A940" t="str">
        <f>"73302"</f>
        <v>73302</v>
      </c>
      <c r="B940" t="s">
        <v>936</v>
      </c>
      <c r="C940" t="str">
        <f>"26.5"</f>
        <v>26.5</v>
      </c>
      <c r="D940" t="s">
        <v>1454</v>
      </c>
    </row>
    <row r="941" spans="1:4" x14ac:dyDescent="0.25">
      <c r="A941" t="str">
        <f>"1001754"</f>
        <v>1001754</v>
      </c>
      <c r="B941" t="s">
        <v>937</v>
      </c>
      <c r="C941" t="str">
        <f>"20.9"</f>
        <v>20.9</v>
      </c>
      <c r="D941" t="s">
        <v>1454</v>
      </c>
    </row>
    <row r="942" spans="1:4" x14ac:dyDescent="0.25">
      <c r="A942" t="str">
        <f>"1001755"</f>
        <v>1001755</v>
      </c>
      <c r="B942" t="s">
        <v>938</v>
      </c>
      <c r="C942" t="str">
        <f>"16.4"</f>
        <v>16.4</v>
      </c>
      <c r="D942" t="s">
        <v>1454</v>
      </c>
    </row>
    <row r="943" spans="1:4" x14ac:dyDescent="0.25">
      <c r="A943" t="str">
        <f>"45242"</f>
        <v>45242</v>
      </c>
      <c r="B943" t="s">
        <v>939</v>
      </c>
      <c r="C943" t="str">
        <f>"19.3"</f>
        <v>19.3</v>
      </c>
      <c r="D943" t="s">
        <v>1454</v>
      </c>
    </row>
    <row r="944" spans="1:4" x14ac:dyDescent="0.25">
      <c r="A944" t="str">
        <f>"9821"</f>
        <v>9821</v>
      </c>
      <c r="B944" t="s">
        <v>940</v>
      </c>
      <c r="C944" t="str">
        <f>"13.8"</f>
        <v>13.8</v>
      </c>
      <c r="D944" t="s">
        <v>1454</v>
      </c>
    </row>
    <row r="945" spans="1:4" x14ac:dyDescent="0.25">
      <c r="A945" t="str">
        <f>"75796"</f>
        <v>75796</v>
      </c>
      <c r="B945" t="s">
        <v>941</v>
      </c>
      <c r="C945" t="str">
        <f>"13.5"</f>
        <v>13.5</v>
      </c>
      <c r="D945" t="s">
        <v>1454</v>
      </c>
    </row>
    <row r="946" spans="1:4" x14ac:dyDescent="0.25">
      <c r="A946" t="str">
        <f>"10571"</f>
        <v>10571</v>
      </c>
      <c r="B946" t="s">
        <v>942</v>
      </c>
      <c r="C946" t="str">
        <f>"27.8"</f>
        <v>27.8</v>
      </c>
      <c r="D946" t="s">
        <v>1454</v>
      </c>
    </row>
    <row r="947" spans="1:4" x14ac:dyDescent="0.25">
      <c r="A947" t="str">
        <f>"1001168"</f>
        <v>1001168</v>
      </c>
      <c r="B947" t="s">
        <v>943</v>
      </c>
      <c r="C947" t="str">
        <f>"24.9"</f>
        <v>24.9</v>
      </c>
      <c r="D947" t="s">
        <v>1454</v>
      </c>
    </row>
    <row r="948" spans="1:4" x14ac:dyDescent="0.25">
      <c r="A948" t="str">
        <f>"66016"</f>
        <v>66016</v>
      </c>
      <c r="B948" t="s">
        <v>944</v>
      </c>
      <c r="C948" t="str">
        <f>"23.1000"</f>
        <v>23.1000</v>
      </c>
      <c r="D948" t="s">
        <v>1454</v>
      </c>
    </row>
    <row r="949" spans="1:4" x14ac:dyDescent="0.25">
      <c r="A949" t="str">
        <f>"9824"</f>
        <v>9824</v>
      </c>
      <c r="B949" t="s">
        <v>945</v>
      </c>
      <c r="C949" t="str">
        <f>"14.3"</f>
        <v>14.3</v>
      </c>
      <c r="D949" t="s">
        <v>1454</v>
      </c>
    </row>
    <row r="950" spans="1:4" x14ac:dyDescent="0.25">
      <c r="A950" t="str">
        <f>"25820"</f>
        <v>25820</v>
      </c>
      <c r="B950" t="s">
        <v>946</v>
      </c>
      <c r="C950" t="str">
        <f>"17.3"</f>
        <v>17.3</v>
      </c>
      <c r="D950" t="s">
        <v>1454</v>
      </c>
    </row>
    <row r="951" spans="1:4" x14ac:dyDescent="0.25">
      <c r="A951" t="str">
        <f>"67682"</f>
        <v>67682</v>
      </c>
      <c r="B951" t="s">
        <v>947</v>
      </c>
      <c r="C951" t="str">
        <f>"18.1"</f>
        <v>18.1</v>
      </c>
      <c r="D951" t="s">
        <v>1454</v>
      </c>
    </row>
    <row r="952" spans="1:4" x14ac:dyDescent="0.25">
      <c r="A952" t="str">
        <f>"66114"</f>
        <v>66114</v>
      </c>
      <c r="B952" t="s">
        <v>948</v>
      </c>
      <c r="C952" t="str">
        <f>"18.5"</f>
        <v>18.5</v>
      </c>
      <c r="D952" t="s">
        <v>1454</v>
      </c>
    </row>
    <row r="953" spans="1:4" x14ac:dyDescent="0.25">
      <c r="A953" t="str">
        <f>"9829"</f>
        <v>9829</v>
      </c>
      <c r="B953" t="s">
        <v>949</v>
      </c>
      <c r="C953" t="str">
        <f>"13.6"</f>
        <v>13.6</v>
      </c>
      <c r="D953" t="s">
        <v>1454</v>
      </c>
    </row>
    <row r="954" spans="1:4" x14ac:dyDescent="0.25">
      <c r="A954" t="str">
        <f>"25829"</f>
        <v>25829</v>
      </c>
      <c r="B954" t="s">
        <v>950</v>
      </c>
      <c r="C954" t="str">
        <f>"11.3"</f>
        <v>11.3</v>
      </c>
      <c r="D954" t="s">
        <v>1454</v>
      </c>
    </row>
    <row r="955" spans="1:4" x14ac:dyDescent="0.25">
      <c r="A955" t="str">
        <f>"9834"</f>
        <v>9834</v>
      </c>
      <c r="B955" t="s">
        <v>951</v>
      </c>
      <c r="C955" t="str">
        <f>"14.6"</f>
        <v>14.6</v>
      </c>
      <c r="D955" t="s">
        <v>1454</v>
      </c>
    </row>
    <row r="956" spans="1:4" x14ac:dyDescent="0.25">
      <c r="A956" t="str">
        <f>"10607"</f>
        <v>10607</v>
      </c>
      <c r="B956" t="s">
        <v>952</v>
      </c>
      <c r="C956" t="str">
        <f>"13.0"</f>
        <v>13.0</v>
      </c>
      <c r="D956" t="s">
        <v>1454</v>
      </c>
    </row>
    <row r="957" spans="1:4" x14ac:dyDescent="0.25">
      <c r="A957" t="str">
        <f>"9836"</f>
        <v>9836</v>
      </c>
      <c r="B957" t="s">
        <v>953</v>
      </c>
      <c r="C957" t="str">
        <f>"21.1"</f>
        <v>21.1</v>
      </c>
      <c r="D957" t="s">
        <v>1454</v>
      </c>
    </row>
    <row r="958" spans="1:4" x14ac:dyDescent="0.25">
      <c r="A958" t="str">
        <f>"37130"</f>
        <v>37130</v>
      </c>
      <c r="B958" t="s">
        <v>954</v>
      </c>
      <c r="C958" t="str">
        <f>"13.4"</f>
        <v>13.4</v>
      </c>
      <c r="D958" t="s">
        <v>1454</v>
      </c>
    </row>
    <row r="959" spans="1:4" x14ac:dyDescent="0.25">
      <c r="A959" t="str">
        <f>"9843"</f>
        <v>9843</v>
      </c>
      <c r="B959" t="s">
        <v>955</v>
      </c>
      <c r="C959" t="str">
        <f>"16.8"</f>
        <v>16.8</v>
      </c>
      <c r="D959" t="s">
        <v>1454</v>
      </c>
    </row>
    <row r="960" spans="1:4" x14ac:dyDescent="0.25">
      <c r="A960" t="str">
        <f>"9844"</f>
        <v>9844</v>
      </c>
      <c r="B960" t="s">
        <v>956</v>
      </c>
      <c r="C960" t="str">
        <f>"19.2"</f>
        <v>19.2</v>
      </c>
      <c r="D960" t="s">
        <v>1454</v>
      </c>
    </row>
    <row r="961" spans="1:4" x14ac:dyDescent="0.25">
      <c r="A961" t="str">
        <f>"64250"</f>
        <v>64250</v>
      </c>
      <c r="B961" t="s">
        <v>957</v>
      </c>
      <c r="C961" t="str">
        <f>"18.1"</f>
        <v>18.1</v>
      </c>
      <c r="D961" t="s">
        <v>1454</v>
      </c>
    </row>
    <row r="962" spans="1:4" x14ac:dyDescent="0.25">
      <c r="A962" t="str">
        <f>"71198"</f>
        <v>71198</v>
      </c>
      <c r="B962" t="s">
        <v>958</v>
      </c>
      <c r="C962" t="str">
        <f>"6.5"</f>
        <v>6.5</v>
      </c>
      <c r="D962" t="s">
        <v>1454</v>
      </c>
    </row>
    <row r="963" spans="1:4" x14ac:dyDescent="0.25">
      <c r="A963" t="str">
        <f>"9849"</f>
        <v>9849</v>
      </c>
      <c r="B963" t="s">
        <v>959</v>
      </c>
      <c r="C963" t="str">
        <f>"17.5"</f>
        <v>17.5</v>
      </c>
      <c r="D963" t="s">
        <v>1454</v>
      </c>
    </row>
    <row r="964" spans="1:4" x14ac:dyDescent="0.25">
      <c r="A964" t="str">
        <f>"9855"</f>
        <v>9855</v>
      </c>
      <c r="B964" t="s">
        <v>960</v>
      </c>
      <c r="C964" t="str">
        <f>"18.2"</f>
        <v>18.2</v>
      </c>
      <c r="D964" t="s">
        <v>1454</v>
      </c>
    </row>
    <row r="965" spans="1:4" x14ac:dyDescent="0.25">
      <c r="A965" t="str">
        <f>"9854"</f>
        <v>9854</v>
      </c>
      <c r="B965" t="s">
        <v>961</v>
      </c>
      <c r="C965" t="str">
        <f>"6.4"</f>
        <v>6.4</v>
      </c>
      <c r="D965" t="s">
        <v>1454</v>
      </c>
    </row>
    <row r="966" spans="1:4" x14ac:dyDescent="0.25">
      <c r="A966" t="str">
        <f>"10740"</f>
        <v>10740</v>
      </c>
      <c r="B966" t="s">
        <v>962</v>
      </c>
      <c r="C966" t="str">
        <f>"12.8"</f>
        <v>12.8</v>
      </c>
      <c r="D966" t="s">
        <v>1454</v>
      </c>
    </row>
    <row r="967" spans="1:4" x14ac:dyDescent="0.25">
      <c r="A967" t="str">
        <f>"9859"</f>
        <v>9859</v>
      </c>
      <c r="B967" t="s">
        <v>963</v>
      </c>
      <c r="C967" t="str">
        <f>"16.0"</f>
        <v>16.0</v>
      </c>
      <c r="D967" t="s">
        <v>1454</v>
      </c>
    </row>
    <row r="968" spans="1:4" x14ac:dyDescent="0.25">
      <c r="A968" t="str">
        <f>"9866"</f>
        <v>9866</v>
      </c>
      <c r="B968" t="s">
        <v>964</v>
      </c>
      <c r="C968" t="str">
        <f>"18.6"</f>
        <v>18.6</v>
      </c>
      <c r="D968" t="s">
        <v>1454</v>
      </c>
    </row>
    <row r="969" spans="1:4" x14ac:dyDescent="0.25">
      <c r="A969" t="str">
        <f>"73136"</f>
        <v>73136</v>
      </c>
      <c r="B969" t="s">
        <v>965</v>
      </c>
      <c r="C969" t="str">
        <f>"22.1"</f>
        <v>22.1</v>
      </c>
      <c r="D969" t="s">
        <v>1454</v>
      </c>
    </row>
    <row r="970" spans="1:4" x14ac:dyDescent="0.25">
      <c r="A970" t="str">
        <f>"9867"</f>
        <v>9867</v>
      </c>
      <c r="B970" t="s">
        <v>966</v>
      </c>
      <c r="C970" t="str">
        <f>"18.9"</f>
        <v>18.9</v>
      </c>
      <c r="D970" t="s">
        <v>1454</v>
      </c>
    </row>
    <row r="971" spans="1:4" x14ac:dyDescent="0.25">
      <c r="A971" t="str">
        <f>"10717"</f>
        <v>10717</v>
      </c>
      <c r="B971" t="s">
        <v>967</v>
      </c>
      <c r="C971" t="str">
        <f>"22.0"</f>
        <v>22.0</v>
      </c>
      <c r="D971" t="s">
        <v>1454</v>
      </c>
    </row>
    <row r="972" spans="1:4" x14ac:dyDescent="0.25">
      <c r="A972" t="str">
        <f>"76367"</f>
        <v>76367</v>
      </c>
      <c r="B972" t="s">
        <v>968</v>
      </c>
      <c r="C972" t="str">
        <f>"18.2"</f>
        <v>18.2</v>
      </c>
      <c r="D972" t="s">
        <v>1454</v>
      </c>
    </row>
    <row r="973" spans="1:4" x14ac:dyDescent="0.25">
      <c r="A973" t="str">
        <f>"80583"</f>
        <v>80583</v>
      </c>
      <c r="B973" t="s">
        <v>969</v>
      </c>
      <c r="C973" t="str">
        <f>"9.8"</f>
        <v>9.8</v>
      </c>
      <c r="D973" t="s">
        <v>1454</v>
      </c>
    </row>
    <row r="974" spans="1:4" x14ac:dyDescent="0.25">
      <c r="A974" t="str">
        <f>"49364"</f>
        <v>49364</v>
      </c>
      <c r="B974" t="s">
        <v>970</v>
      </c>
      <c r="C974" t="str">
        <f>"11.4"</f>
        <v>11.4</v>
      </c>
      <c r="D974" t="s">
        <v>1454</v>
      </c>
    </row>
    <row r="975" spans="1:4" x14ac:dyDescent="0.25">
      <c r="A975" t="str">
        <f>"9875"</f>
        <v>9875</v>
      </c>
      <c r="B975" t="s">
        <v>971</v>
      </c>
      <c r="C975" t="str">
        <f>"10.3"</f>
        <v>10.3</v>
      </c>
      <c r="D975" t="s">
        <v>1454</v>
      </c>
    </row>
    <row r="976" spans="1:4" x14ac:dyDescent="0.25">
      <c r="A976" t="str">
        <f>"67810"</f>
        <v>67810</v>
      </c>
      <c r="B976" t="s">
        <v>972</v>
      </c>
      <c r="C976" t="str">
        <f>"16.2"</f>
        <v>16.2</v>
      </c>
      <c r="D976" t="s">
        <v>1454</v>
      </c>
    </row>
    <row r="977" spans="1:4" x14ac:dyDescent="0.25">
      <c r="A977" t="str">
        <f>"71701"</f>
        <v>71701</v>
      </c>
      <c r="B977" t="s">
        <v>973</v>
      </c>
      <c r="C977" t="str">
        <f>"10.8"</f>
        <v>10.8</v>
      </c>
      <c r="D977" t="s">
        <v>1454</v>
      </c>
    </row>
    <row r="978" spans="1:4" x14ac:dyDescent="0.25">
      <c r="A978" t="str">
        <f>"9878"</f>
        <v>9878</v>
      </c>
      <c r="B978" t="s">
        <v>974</v>
      </c>
      <c r="C978" t="str">
        <f>"13.9"</f>
        <v>13.9</v>
      </c>
      <c r="D978" t="s">
        <v>1454</v>
      </c>
    </row>
    <row r="979" spans="1:4" x14ac:dyDescent="0.25">
      <c r="A979" t="str">
        <f>"36941"</f>
        <v>36941</v>
      </c>
      <c r="B979" t="s">
        <v>975</v>
      </c>
      <c r="C979" t="str">
        <f>"23.6"</f>
        <v>23.6</v>
      </c>
      <c r="D979" t="s">
        <v>1454</v>
      </c>
    </row>
    <row r="980" spans="1:4" x14ac:dyDescent="0.25">
      <c r="A980" t="str">
        <f>"76565"</f>
        <v>76565</v>
      </c>
      <c r="B980" t="s">
        <v>976</v>
      </c>
      <c r="C980" t="str">
        <f>"27.9"</f>
        <v>27.9</v>
      </c>
      <c r="D980" t="s">
        <v>1454</v>
      </c>
    </row>
    <row r="981" spans="1:4" x14ac:dyDescent="0.25">
      <c r="A981" t="str">
        <f>"9882"</f>
        <v>9882</v>
      </c>
      <c r="B981" t="s">
        <v>977</v>
      </c>
      <c r="C981" t="str">
        <f>"15.7"</f>
        <v>15.7</v>
      </c>
      <c r="D981" t="s">
        <v>1454</v>
      </c>
    </row>
    <row r="982" spans="1:4" x14ac:dyDescent="0.25">
      <c r="A982" t="str">
        <f>"9884"</f>
        <v>9884</v>
      </c>
      <c r="B982" t="s">
        <v>978</v>
      </c>
      <c r="C982" t="str">
        <f>"10.0"</f>
        <v>10.0</v>
      </c>
      <c r="D982" t="s">
        <v>1454</v>
      </c>
    </row>
    <row r="983" spans="1:4" x14ac:dyDescent="0.25">
      <c r="A983" t="str">
        <f>"77978"</f>
        <v>77978</v>
      </c>
      <c r="B983" t="s">
        <v>979</v>
      </c>
      <c r="C983" t="str">
        <f>"12.1"</f>
        <v>12.1</v>
      </c>
      <c r="D983" t="s">
        <v>1454</v>
      </c>
    </row>
    <row r="984" spans="1:4" x14ac:dyDescent="0.25">
      <c r="A984" t="str">
        <f>"72270"</f>
        <v>72270</v>
      </c>
      <c r="B984" t="s">
        <v>980</v>
      </c>
      <c r="C984" t="str">
        <f>"31.0"</f>
        <v>31.0</v>
      </c>
      <c r="D984" t="s">
        <v>1454</v>
      </c>
    </row>
    <row r="985" spans="1:4" x14ac:dyDescent="0.25">
      <c r="A985" t="str">
        <f>"46242"</f>
        <v>46242</v>
      </c>
      <c r="B985" t="s">
        <v>981</v>
      </c>
      <c r="C985" t="str">
        <f>"24.4"</f>
        <v>24.4</v>
      </c>
      <c r="D985" t="s">
        <v>1454</v>
      </c>
    </row>
    <row r="986" spans="1:4" x14ac:dyDescent="0.25">
      <c r="A986" t="str">
        <f>"71932"</f>
        <v>71932</v>
      </c>
      <c r="B986" t="s">
        <v>982</v>
      </c>
      <c r="C986" t="str">
        <f>"16.9"</f>
        <v>16.9</v>
      </c>
      <c r="D986" t="s">
        <v>1454</v>
      </c>
    </row>
    <row r="987" spans="1:4" x14ac:dyDescent="0.25">
      <c r="A987" t="str">
        <f>"71931"</f>
        <v>71931</v>
      </c>
      <c r="B987" t="s">
        <v>983</v>
      </c>
      <c r="C987" t="str">
        <f>"23.4"</f>
        <v>23.4</v>
      </c>
      <c r="D987" t="s">
        <v>1454</v>
      </c>
    </row>
    <row r="988" spans="1:4" x14ac:dyDescent="0.25">
      <c r="A988" t="str">
        <f>"9891"</f>
        <v>9891</v>
      </c>
      <c r="B988" t="s">
        <v>984</v>
      </c>
      <c r="C988" t="str">
        <f>"22.1"</f>
        <v>22.1</v>
      </c>
      <c r="D988" t="s">
        <v>1454</v>
      </c>
    </row>
    <row r="989" spans="1:4" x14ac:dyDescent="0.25">
      <c r="A989" t="str">
        <f>"9892"</f>
        <v>9892</v>
      </c>
      <c r="B989" t="s">
        <v>985</v>
      </c>
      <c r="C989" t="str">
        <f>"8.5"</f>
        <v>8.5</v>
      </c>
      <c r="D989" t="s">
        <v>1454</v>
      </c>
    </row>
    <row r="990" spans="1:4" x14ac:dyDescent="0.25">
      <c r="A990" t="str">
        <f>"9894"</f>
        <v>9894</v>
      </c>
      <c r="B990" t="s">
        <v>986</v>
      </c>
      <c r="C990" t="str">
        <f>"13.5"</f>
        <v>13.5</v>
      </c>
      <c r="D990" t="s">
        <v>1454</v>
      </c>
    </row>
    <row r="991" spans="1:4" x14ac:dyDescent="0.25">
      <c r="A991" t="str">
        <f>"66284"</f>
        <v>66284</v>
      </c>
      <c r="B991" t="s">
        <v>987</v>
      </c>
      <c r="C991" t="str">
        <f>"27.6"</f>
        <v>27.6</v>
      </c>
      <c r="D991" t="s">
        <v>1454</v>
      </c>
    </row>
    <row r="992" spans="1:4" x14ac:dyDescent="0.25">
      <c r="A992" t="str">
        <f>"16880"</f>
        <v>16880</v>
      </c>
      <c r="B992" t="s">
        <v>988</v>
      </c>
      <c r="C992" t="str">
        <f>"12.3"</f>
        <v>12.3</v>
      </c>
      <c r="D992" t="s">
        <v>1454</v>
      </c>
    </row>
    <row r="993" spans="1:4" x14ac:dyDescent="0.25">
      <c r="A993" t="str">
        <f>"10567"</f>
        <v>10567</v>
      </c>
      <c r="B993" t="s">
        <v>989</v>
      </c>
      <c r="C993" t="str">
        <f>"20.6"</f>
        <v>20.6</v>
      </c>
      <c r="D993" t="s">
        <v>1454</v>
      </c>
    </row>
    <row r="994" spans="1:4" x14ac:dyDescent="0.25">
      <c r="A994" t="str">
        <f>"9903"</f>
        <v>9903</v>
      </c>
      <c r="B994" t="s">
        <v>990</v>
      </c>
      <c r="C994" t="str">
        <f>"12.6"</f>
        <v>12.6</v>
      </c>
      <c r="D994" t="s">
        <v>1454</v>
      </c>
    </row>
    <row r="995" spans="1:4" x14ac:dyDescent="0.25">
      <c r="A995" t="str">
        <f>"49922"</f>
        <v>49922</v>
      </c>
      <c r="B995" t="s">
        <v>991</v>
      </c>
      <c r="C995" t="str">
        <f>"5.1"</f>
        <v>5.1</v>
      </c>
      <c r="D995" t="s">
        <v>1454</v>
      </c>
    </row>
    <row r="996" spans="1:4" x14ac:dyDescent="0.25">
      <c r="A996" t="str">
        <f>"68589"</f>
        <v>68589</v>
      </c>
      <c r="B996" t="s">
        <v>992</v>
      </c>
      <c r="C996" t="str">
        <f>"6.3"</f>
        <v>6.3</v>
      </c>
      <c r="D996" t="s">
        <v>1454</v>
      </c>
    </row>
    <row r="997" spans="1:4" x14ac:dyDescent="0.25">
      <c r="A997" t="str">
        <f>"64143"</f>
        <v>64143</v>
      </c>
      <c r="B997" t="s">
        <v>993</v>
      </c>
      <c r="C997" t="str">
        <f>"21.5"</f>
        <v>21.5</v>
      </c>
      <c r="D997" t="s">
        <v>1454</v>
      </c>
    </row>
    <row r="998" spans="1:4" x14ac:dyDescent="0.25">
      <c r="A998" t="str">
        <f>"23017"</f>
        <v>23017</v>
      </c>
      <c r="B998" t="s">
        <v>994</v>
      </c>
      <c r="C998" t="s">
        <v>1</v>
      </c>
      <c r="D998" t="s">
        <v>1454</v>
      </c>
    </row>
    <row r="999" spans="1:4" x14ac:dyDescent="0.25">
      <c r="A999" t="str">
        <f>"77756"</f>
        <v>77756</v>
      </c>
      <c r="B999" t="s">
        <v>995</v>
      </c>
      <c r="C999" t="str">
        <f>"4.5"</f>
        <v>4.5</v>
      </c>
      <c r="D999" t="s">
        <v>1454</v>
      </c>
    </row>
    <row r="1000" spans="1:4" x14ac:dyDescent="0.25">
      <c r="A1000" t="str">
        <f>"9909"</f>
        <v>9909</v>
      </c>
      <c r="B1000" t="s">
        <v>996</v>
      </c>
      <c r="C1000" t="str">
        <f>"13.1"</f>
        <v>13.1</v>
      </c>
      <c r="D1000" t="s">
        <v>1454</v>
      </c>
    </row>
    <row r="1001" spans="1:4" x14ac:dyDescent="0.25">
      <c r="A1001" t="str">
        <f>"42317"</f>
        <v>42317</v>
      </c>
      <c r="B1001" t="s">
        <v>997</v>
      </c>
      <c r="C1001" t="str">
        <f>"+0.9"</f>
        <v>+0.9</v>
      </c>
      <c r="D1001" t="s">
        <v>1454</v>
      </c>
    </row>
    <row r="1002" spans="1:4" x14ac:dyDescent="0.25">
      <c r="A1002" t="str">
        <f>"1002727"</f>
        <v>1002727</v>
      </c>
      <c r="B1002" t="s">
        <v>998</v>
      </c>
      <c r="C1002" t="str">
        <f>"7.6"</f>
        <v>7.6</v>
      </c>
      <c r="D1002" t="s">
        <v>1454</v>
      </c>
    </row>
    <row r="1003" spans="1:4" x14ac:dyDescent="0.25">
      <c r="A1003" t="str">
        <f>"9911"</f>
        <v>9911</v>
      </c>
      <c r="B1003" t="s">
        <v>999</v>
      </c>
      <c r="C1003" t="str">
        <f>"28.5"</f>
        <v>28.5</v>
      </c>
      <c r="D1003" t="s">
        <v>1454</v>
      </c>
    </row>
    <row r="1004" spans="1:4" x14ac:dyDescent="0.25">
      <c r="A1004" t="str">
        <f>"68588"</f>
        <v>68588</v>
      </c>
      <c r="B1004" t="s">
        <v>1000</v>
      </c>
      <c r="C1004" t="str">
        <f>"17.7"</f>
        <v>17.7</v>
      </c>
      <c r="D1004" t="s">
        <v>1454</v>
      </c>
    </row>
    <row r="1005" spans="1:4" x14ac:dyDescent="0.25">
      <c r="A1005" t="str">
        <f>"68558"</f>
        <v>68558</v>
      </c>
      <c r="B1005" t="s">
        <v>1001</v>
      </c>
      <c r="C1005" t="str">
        <f>"17.1"</f>
        <v>17.1</v>
      </c>
      <c r="D1005" t="s">
        <v>1454</v>
      </c>
    </row>
    <row r="1006" spans="1:4" x14ac:dyDescent="0.25">
      <c r="A1006" t="str">
        <f>"72282"</f>
        <v>72282</v>
      </c>
      <c r="B1006" t="s">
        <v>1002</v>
      </c>
      <c r="C1006" t="str">
        <f>"21.8"</f>
        <v>21.8</v>
      </c>
      <c r="D1006" t="s">
        <v>1454</v>
      </c>
    </row>
    <row r="1007" spans="1:4" x14ac:dyDescent="0.25">
      <c r="A1007" t="str">
        <f>"10436"</f>
        <v>10436</v>
      </c>
      <c r="B1007" t="s">
        <v>1003</v>
      </c>
      <c r="C1007" t="str">
        <f>"9.7"</f>
        <v>9.7</v>
      </c>
      <c r="D1007" t="s">
        <v>1454</v>
      </c>
    </row>
    <row r="1008" spans="1:4" x14ac:dyDescent="0.25">
      <c r="A1008" t="str">
        <f>"47480"</f>
        <v>47480</v>
      </c>
      <c r="B1008" t="s">
        <v>1004</v>
      </c>
      <c r="C1008" t="str">
        <f>"27.8"</f>
        <v>27.8</v>
      </c>
      <c r="D1008" t="s">
        <v>1454</v>
      </c>
    </row>
    <row r="1009" spans="1:4" x14ac:dyDescent="0.25">
      <c r="A1009" t="str">
        <f>"43137"</f>
        <v>43137</v>
      </c>
      <c r="B1009" t="s">
        <v>1005</v>
      </c>
      <c r="C1009" t="str">
        <f>"16.5"</f>
        <v>16.5</v>
      </c>
      <c r="D1009" t="s">
        <v>1454</v>
      </c>
    </row>
    <row r="1010" spans="1:4" x14ac:dyDescent="0.25">
      <c r="A1010" t="str">
        <f>"81432"</f>
        <v>81432</v>
      </c>
      <c r="B1010" t="s">
        <v>1006</v>
      </c>
      <c r="C1010" t="str">
        <f>"14.1"</f>
        <v>14.1</v>
      </c>
      <c r="D1010" t="s">
        <v>1454</v>
      </c>
    </row>
    <row r="1011" spans="1:4" x14ac:dyDescent="0.25">
      <c r="A1011" t="str">
        <f>"9914"</f>
        <v>9914</v>
      </c>
      <c r="B1011" t="s">
        <v>1007</v>
      </c>
      <c r="C1011" t="str">
        <f>"20.3"</f>
        <v>20.3</v>
      </c>
      <c r="D1011" t="s">
        <v>1454</v>
      </c>
    </row>
    <row r="1012" spans="1:4" x14ac:dyDescent="0.25">
      <c r="A1012" t="str">
        <f>"56527"</f>
        <v>56527</v>
      </c>
      <c r="B1012" t="s">
        <v>1008</v>
      </c>
      <c r="C1012" t="str">
        <f>"18.5"</f>
        <v>18.5</v>
      </c>
      <c r="D1012" t="s">
        <v>1454</v>
      </c>
    </row>
    <row r="1013" spans="1:4" x14ac:dyDescent="0.25">
      <c r="A1013" t="str">
        <f>"9917"</f>
        <v>9917</v>
      </c>
      <c r="B1013" t="s">
        <v>1009</v>
      </c>
      <c r="C1013" t="str">
        <f>"11.1"</f>
        <v>11.1</v>
      </c>
      <c r="D1013" t="s">
        <v>1454</v>
      </c>
    </row>
    <row r="1014" spans="1:4" x14ac:dyDescent="0.25">
      <c r="A1014" t="str">
        <f>"75894"</f>
        <v>75894</v>
      </c>
      <c r="B1014" t="s">
        <v>1010</v>
      </c>
      <c r="C1014" t="str">
        <f>"13.7"</f>
        <v>13.7</v>
      </c>
      <c r="D1014" t="s">
        <v>1454</v>
      </c>
    </row>
    <row r="1015" spans="1:4" x14ac:dyDescent="0.25">
      <c r="A1015" t="str">
        <f>"60702"</f>
        <v>60702</v>
      </c>
      <c r="B1015" t="s">
        <v>1011</v>
      </c>
      <c r="C1015" t="str">
        <f>"18.1"</f>
        <v>18.1</v>
      </c>
      <c r="D1015" t="s">
        <v>1454</v>
      </c>
    </row>
    <row r="1016" spans="1:4" x14ac:dyDescent="0.25">
      <c r="A1016" t="str">
        <f>"9925"</f>
        <v>9925</v>
      </c>
      <c r="B1016" t="s">
        <v>1012</v>
      </c>
      <c r="C1016" t="str">
        <f>"8.1"</f>
        <v>8.1</v>
      </c>
      <c r="D1016" t="s">
        <v>1454</v>
      </c>
    </row>
    <row r="1017" spans="1:4" x14ac:dyDescent="0.25">
      <c r="A1017" t="str">
        <f>"9927"</f>
        <v>9927</v>
      </c>
      <c r="B1017" t="s">
        <v>1013</v>
      </c>
      <c r="C1017" t="str">
        <f>"13.5"</f>
        <v>13.5</v>
      </c>
      <c r="D1017" t="s">
        <v>1454</v>
      </c>
    </row>
    <row r="1018" spans="1:4" x14ac:dyDescent="0.25">
      <c r="A1018" t="str">
        <f>"1007189"</f>
        <v>1007189</v>
      </c>
      <c r="B1018" t="s">
        <v>1014</v>
      </c>
      <c r="C1018" t="str">
        <f>"20.4"</f>
        <v>20.4</v>
      </c>
      <c r="D1018" t="s">
        <v>1454</v>
      </c>
    </row>
    <row r="1019" spans="1:4" x14ac:dyDescent="0.25">
      <c r="A1019" t="str">
        <f>"44688"</f>
        <v>44688</v>
      </c>
      <c r="B1019" t="s">
        <v>1015</v>
      </c>
      <c r="C1019" t="str">
        <f>"22.7"</f>
        <v>22.7</v>
      </c>
      <c r="D1019" t="s">
        <v>1454</v>
      </c>
    </row>
    <row r="1020" spans="1:4" x14ac:dyDescent="0.25">
      <c r="A1020" t="str">
        <f>"31343"</f>
        <v>31343</v>
      </c>
      <c r="B1020" t="s">
        <v>1016</v>
      </c>
      <c r="C1020" t="str">
        <f>"6.9"</f>
        <v>6.9</v>
      </c>
      <c r="D1020" t="s">
        <v>1454</v>
      </c>
    </row>
    <row r="1021" spans="1:4" x14ac:dyDescent="0.25">
      <c r="A1021" t="str">
        <f>"72269"</f>
        <v>72269</v>
      </c>
      <c r="B1021" t="s">
        <v>1017</v>
      </c>
      <c r="C1021" t="str">
        <f>"19.5"</f>
        <v>19.5</v>
      </c>
      <c r="D1021" t="s">
        <v>1454</v>
      </c>
    </row>
    <row r="1022" spans="1:4" x14ac:dyDescent="0.25">
      <c r="A1022" t="str">
        <f>"10510"</f>
        <v>10510</v>
      </c>
      <c r="B1022" t="s">
        <v>1018</v>
      </c>
      <c r="C1022" t="str">
        <f>"17.9"</f>
        <v>17.9</v>
      </c>
      <c r="D1022" t="s">
        <v>1454</v>
      </c>
    </row>
    <row r="1023" spans="1:4" x14ac:dyDescent="0.25">
      <c r="A1023" t="str">
        <f>"9936"</f>
        <v>9936</v>
      </c>
      <c r="B1023" t="s">
        <v>1019</v>
      </c>
      <c r="C1023" t="str">
        <f>"26.9"</f>
        <v>26.9</v>
      </c>
      <c r="D1023" t="s">
        <v>1454</v>
      </c>
    </row>
    <row r="1024" spans="1:4" x14ac:dyDescent="0.25">
      <c r="A1024" t="str">
        <f>"36773"</f>
        <v>36773</v>
      </c>
      <c r="B1024" t="s">
        <v>1020</v>
      </c>
      <c r="C1024" t="str">
        <f>"24.6"</f>
        <v>24.6</v>
      </c>
      <c r="D1024" t="s">
        <v>1454</v>
      </c>
    </row>
    <row r="1025" spans="1:4" x14ac:dyDescent="0.25">
      <c r="A1025" t="str">
        <f>"77166"</f>
        <v>77166</v>
      </c>
      <c r="B1025" t="s">
        <v>1021</v>
      </c>
      <c r="C1025" t="str">
        <f>"17.4"</f>
        <v>17.4</v>
      </c>
      <c r="D1025" t="s">
        <v>1454</v>
      </c>
    </row>
    <row r="1026" spans="1:4" x14ac:dyDescent="0.25">
      <c r="A1026" t="str">
        <f>"77869"</f>
        <v>77869</v>
      </c>
      <c r="B1026" t="s">
        <v>1022</v>
      </c>
      <c r="C1026" t="str">
        <f>"21.9"</f>
        <v>21.9</v>
      </c>
      <c r="D1026" t="s">
        <v>1454</v>
      </c>
    </row>
    <row r="1027" spans="1:4" x14ac:dyDescent="0.25">
      <c r="A1027" t="str">
        <f>"73243"</f>
        <v>73243</v>
      </c>
      <c r="B1027" t="s">
        <v>1023</v>
      </c>
      <c r="C1027" t="str">
        <f>"20.7"</f>
        <v>20.7</v>
      </c>
      <c r="D1027" t="s">
        <v>1454</v>
      </c>
    </row>
    <row r="1028" spans="1:4" x14ac:dyDescent="0.25">
      <c r="A1028" t="str">
        <f>"74814"</f>
        <v>74814</v>
      </c>
      <c r="B1028" t="s">
        <v>1024</v>
      </c>
      <c r="C1028" t="str">
        <f>"15.2"</f>
        <v>15.2</v>
      </c>
      <c r="D1028" t="s">
        <v>1454</v>
      </c>
    </row>
    <row r="1029" spans="1:4" x14ac:dyDescent="0.25">
      <c r="A1029" t="str">
        <f>"9938"</f>
        <v>9938</v>
      </c>
      <c r="B1029" t="s">
        <v>1025</v>
      </c>
      <c r="C1029" t="str">
        <f>"18.7"</f>
        <v>18.7</v>
      </c>
      <c r="D1029" t="s">
        <v>1454</v>
      </c>
    </row>
    <row r="1030" spans="1:4" x14ac:dyDescent="0.25">
      <c r="A1030" t="str">
        <f>"51062"</f>
        <v>51062</v>
      </c>
      <c r="B1030" t="s">
        <v>1026</v>
      </c>
      <c r="C1030" t="str">
        <f>"15.7"</f>
        <v>15.7</v>
      </c>
      <c r="D1030" t="s">
        <v>1454</v>
      </c>
    </row>
    <row r="1031" spans="1:4" x14ac:dyDescent="0.25">
      <c r="A1031" t="str">
        <f>"9940"</f>
        <v>9940</v>
      </c>
      <c r="B1031" t="s">
        <v>1027</v>
      </c>
      <c r="C1031" t="str">
        <f>"14.8"</f>
        <v>14.8</v>
      </c>
      <c r="D1031" t="s">
        <v>1454</v>
      </c>
    </row>
    <row r="1032" spans="1:4" x14ac:dyDescent="0.25">
      <c r="A1032" t="str">
        <f>"1011890"</f>
        <v>1011890</v>
      </c>
      <c r="B1032" t="s">
        <v>1028</v>
      </c>
      <c r="C1032" t="s">
        <v>1</v>
      </c>
      <c r="D1032" t="s">
        <v>1454</v>
      </c>
    </row>
    <row r="1033" spans="1:4" x14ac:dyDescent="0.25">
      <c r="A1033" t="str">
        <f>"9942"</f>
        <v>9942</v>
      </c>
      <c r="B1033" t="s">
        <v>1029</v>
      </c>
      <c r="C1033" t="str">
        <f>"15.7"</f>
        <v>15.7</v>
      </c>
      <c r="D1033" t="s">
        <v>1454</v>
      </c>
    </row>
    <row r="1034" spans="1:4" x14ac:dyDescent="0.25">
      <c r="A1034" t="str">
        <f>"22224"</f>
        <v>22224</v>
      </c>
      <c r="B1034" t="s">
        <v>1030</v>
      </c>
      <c r="C1034" t="str">
        <f>"8.3"</f>
        <v>8.3</v>
      </c>
      <c r="D1034" t="s">
        <v>1454</v>
      </c>
    </row>
    <row r="1035" spans="1:4" x14ac:dyDescent="0.25">
      <c r="A1035" t="str">
        <f>"75039"</f>
        <v>75039</v>
      </c>
      <c r="B1035" t="s">
        <v>1031</v>
      </c>
      <c r="C1035" t="str">
        <f>"23.0"</f>
        <v>23.0</v>
      </c>
      <c r="D1035" t="s">
        <v>1454</v>
      </c>
    </row>
    <row r="1036" spans="1:4" x14ac:dyDescent="0.25">
      <c r="A1036" t="str">
        <f>"9943"</f>
        <v>9943</v>
      </c>
      <c r="B1036" t="s">
        <v>1032</v>
      </c>
      <c r="C1036" t="str">
        <f>"10.6"</f>
        <v>10.6</v>
      </c>
      <c r="D1036" t="s">
        <v>1454</v>
      </c>
    </row>
    <row r="1037" spans="1:4" x14ac:dyDescent="0.25">
      <c r="A1037" t="str">
        <f>"1003049"</f>
        <v>1003049</v>
      </c>
      <c r="B1037" t="s">
        <v>1033</v>
      </c>
      <c r="C1037" t="str">
        <f>"32.2"</f>
        <v>32.2</v>
      </c>
      <c r="D1037" t="s">
        <v>1454</v>
      </c>
    </row>
    <row r="1038" spans="1:4" x14ac:dyDescent="0.25">
      <c r="A1038" t="str">
        <f>"9946"</f>
        <v>9946</v>
      </c>
      <c r="B1038" t="s">
        <v>1034</v>
      </c>
      <c r="C1038" t="str">
        <f>"27.5000"</f>
        <v>27.5000</v>
      </c>
      <c r="D1038" t="s">
        <v>1454</v>
      </c>
    </row>
    <row r="1039" spans="1:4" x14ac:dyDescent="0.25">
      <c r="A1039" t="str">
        <f>"10264"</f>
        <v>10264</v>
      </c>
      <c r="B1039" t="s">
        <v>1035</v>
      </c>
      <c r="C1039" t="str">
        <f>"24.5"</f>
        <v>24.5</v>
      </c>
      <c r="D1039" t="s">
        <v>1454</v>
      </c>
    </row>
    <row r="1040" spans="1:4" x14ac:dyDescent="0.25">
      <c r="A1040" t="str">
        <f>"37510"</f>
        <v>37510</v>
      </c>
      <c r="B1040" t="s">
        <v>1036</v>
      </c>
      <c r="C1040" t="str">
        <f>"14.4"</f>
        <v>14.4</v>
      </c>
      <c r="D1040" t="s">
        <v>1454</v>
      </c>
    </row>
    <row r="1041" spans="1:4" x14ac:dyDescent="0.25">
      <c r="A1041" t="str">
        <f>"67266"</f>
        <v>67266</v>
      </c>
      <c r="B1041" t="s">
        <v>1037</v>
      </c>
      <c r="C1041" t="str">
        <f>"17.0"</f>
        <v>17.0</v>
      </c>
      <c r="D1041" t="s">
        <v>1454</v>
      </c>
    </row>
    <row r="1042" spans="1:4" x14ac:dyDescent="0.25">
      <c r="A1042" t="str">
        <f>"67158"</f>
        <v>67158</v>
      </c>
      <c r="B1042" t="s">
        <v>1038</v>
      </c>
      <c r="C1042" t="str">
        <f>"19.7"</f>
        <v>19.7</v>
      </c>
      <c r="D1042" t="s">
        <v>1454</v>
      </c>
    </row>
    <row r="1043" spans="1:4" x14ac:dyDescent="0.25">
      <c r="A1043" t="str">
        <f>"10322"</f>
        <v>10322</v>
      </c>
      <c r="B1043" t="s">
        <v>1039</v>
      </c>
      <c r="C1043" t="str">
        <f>"32.8"</f>
        <v>32.8</v>
      </c>
      <c r="D1043" t="s">
        <v>1454</v>
      </c>
    </row>
    <row r="1044" spans="1:4" x14ac:dyDescent="0.25">
      <c r="A1044" t="str">
        <f>"79538"</f>
        <v>79538</v>
      </c>
      <c r="B1044" t="s">
        <v>1040</v>
      </c>
      <c r="C1044" t="str">
        <f>"16.7"</f>
        <v>16.7</v>
      </c>
      <c r="D1044" t="s">
        <v>1454</v>
      </c>
    </row>
    <row r="1045" spans="1:4" x14ac:dyDescent="0.25">
      <c r="A1045" t="str">
        <f>"10501"</f>
        <v>10501</v>
      </c>
      <c r="B1045" t="s">
        <v>1041</v>
      </c>
      <c r="C1045" t="str">
        <f>"20.3"</f>
        <v>20.3</v>
      </c>
      <c r="D1045" t="s">
        <v>1454</v>
      </c>
    </row>
    <row r="1046" spans="1:4" x14ac:dyDescent="0.25">
      <c r="A1046" t="str">
        <f>"9956"</f>
        <v>9956</v>
      </c>
      <c r="B1046" t="s">
        <v>1042</v>
      </c>
      <c r="C1046" t="str">
        <f>"16.0"</f>
        <v>16.0</v>
      </c>
      <c r="D1046" t="s">
        <v>1454</v>
      </c>
    </row>
    <row r="1047" spans="1:4" x14ac:dyDescent="0.25">
      <c r="A1047" t="str">
        <f>"10776"</f>
        <v>10776</v>
      </c>
      <c r="B1047" t="s">
        <v>1043</v>
      </c>
      <c r="C1047" t="str">
        <f>"24.9"</f>
        <v>24.9</v>
      </c>
      <c r="D1047" t="s">
        <v>1454</v>
      </c>
    </row>
    <row r="1048" spans="1:4" x14ac:dyDescent="0.25">
      <c r="A1048" t="str">
        <f>"16732"</f>
        <v>16732</v>
      </c>
      <c r="B1048" t="s">
        <v>1044</v>
      </c>
      <c r="C1048" t="str">
        <f>"26.9"</f>
        <v>26.9</v>
      </c>
      <c r="D1048" t="s">
        <v>1454</v>
      </c>
    </row>
    <row r="1049" spans="1:4" x14ac:dyDescent="0.25">
      <c r="A1049" t="str">
        <f>"75420"</f>
        <v>75420</v>
      </c>
      <c r="B1049" t="s">
        <v>1045</v>
      </c>
      <c r="C1049" t="str">
        <f>"10.5"</f>
        <v>10.5</v>
      </c>
      <c r="D1049" t="s">
        <v>1454</v>
      </c>
    </row>
    <row r="1050" spans="1:4" x14ac:dyDescent="0.25">
      <c r="A1050" t="str">
        <f>"9960"</f>
        <v>9960</v>
      </c>
      <c r="B1050" t="s">
        <v>1046</v>
      </c>
      <c r="C1050" t="str">
        <f>"14.1"</f>
        <v>14.1</v>
      </c>
      <c r="D1050" t="s">
        <v>1454</v>
      </c>
    </row>
    <row r="1051" spans="1:4" x14ac:dyDescent="0.25">
      <c r="A1051" t="str">
        <f>"10373"</f>
        <v>10373</v>
      </c>
      <c r="B1051" t="s">
        <v>1047</v>
      </c>
      <c r="C1051" t="str">
        <f>"12.5"</f>
        <v>12.5</v>
      </c>
      <c r="D1051" t="s">
        <v>1454</v>
      </c>
    </row>
    <row r="1052" spans="1:4" x14ac:dyDescent="0.25">
      <c r="A1052" t="str">
        <f>"9962"</f>
        <v>9962</v>
      </c>
      <c r="B1052" t="s">
        <v>1048</v>
      </c>
      <c r="C1052" t="str">
        <f>"26.4"</f>
        <v>26.4</v>
      </c>
      <c r="D1052" t="s">
        <v>1454</v>
      </c>
    </row>
    <row r="1053" spans="1:4" x14ac:dyDescent="0.25">
      <c r="A1053" t="str">
        <f>"9964"</f>
        <v>9964</v>
      </c>
      <c r="B1053" t="s">
        <v>1049</v>
      </c>
      <c r="C1053" t="str">
        <f>"19.0"</f>
        <v>19.0</v>
      </c>
      <c r="D1053" t="s">
        <v>1454</v>
      </c>
    </row>
    <row r="1054" spans="1:4" x14ac:dyDescent="0.25">
      <c r="A1054" t="str">
        <f>"70138"</f>
        <v>70138</v>
      </c>
      <c r="B1054" t="s">
        <v>1050</v>
      </c>
      <c r="C1054" t="str">
        <f>"12.7"</f>
        <v>12.7</v>
      </c>
      <c r="D1054" t="s">
        <v>1454</v>
      </c>
    </row>
    <row r="1055" spans="1:4" x14ac:dyDescent="0.25">
      <c r="A1055" t="str">
        <f>"9968"</f>
        <v>9968</v>
      </c>
      <c r="B1055" t="s">
        <v>1051</v>
      </c>
      <c r="C1055" t="str">
        <f>"14.5"</f>
        <v>14.5</v>
      </c>
      <c r="D1055" t="s">
        <v>1454</v>
      </c>
    </row>
    <row r="1056" spans="1:4" x14ac:dyDescent="0.25">
      <c r="A1056" t="str">
        <f>"9971"</f>
        <v>9971</v>
      </c>
      <c r="B1056" t="s">
        <v>1052</v>
      </c>
      <c r="C1056" t="str">
        <f>"14.7"</f>
        <v>14.7</v>
      </c>
      <c r="D1056" t="s">
        <v>1454</v>
      </c>
    </row>
    <row r="1057" spans="1:4" x14ac:dyDescent="0.25">
      <c r="A1057" t="str">
        <f>"9975"</f>
        <v>9975</v>
      </c>
      <c r="B1057" t="s">
        <v>1053</v>
      </c>
      <c r="C1057" t="str">
        <f>"21.2"</f>
        <v>21.2</v>
      </c>
      <c r="D1057" t="s">
        <v>1454</v>
      </c>
    </row>
    <row r="1058" spans="1:4" x14ac:dyDescent="0.25">
      <c r="A1058" t="str">
        <f>"76903"</f>
        <v>76903</v>
      </c>
      <c r="B1058" t="s">
        <v>1054</v>
      </c>
      <c r="C1058" t="str">
        <f>"45.7"</f>
        <v>45.7</v>
      </c>
      <c r="D1058" t="s">
        <v>1454</v>
      </c>
    </row>
    <row r="1059" spans="1:4" x14ac:dyDescent="0.25">
      <c r="A1059" t="str">
        <f>"10418"</f>
        <v>10418</v>
      </c>
      <c r="B1059" t="s">
        <v>1055</v>
      </c>
      <c r="C1059" t="str">
        <f>"9.4"</f>
        <v>9.4</v>
      </c>
      <c r="D1059" t="s">
        <v>1454</v>
      </c>
    </row>
    <row r="1060" spans="1:4" x14ac:dyDescent="0.25">
      <c r="A1060" t="str">
        <f>"1006444"</f>
        <v>1006444</v>
      </c>
      <c r="B1060" t="s">
        <v>1056</v>
      </c>
      <c r="C1060" t="str">
        <f>"18.3"</f>
        <v>18.3</v>
      </c>
      <c r="D1060" t="s">
        <v>1454</v>
      </c>
    </row>
    <row r="1061" spans="1:4" x14ac:dyDescent="0.25">
      <c r="A1061" t="str">
        <f>"9979"</f>
        <v>9979</v>
      </c>
      <c r="B1061" t="s">
        <v>1057</v>
      </c>
      <c r="C1061" t="str">
        <f>"20.6"</f>
        <v>20.6</v>
      </c>
      <c r="D1061" t="s">
        <v>1454</v>
      </c>
    </row>
    <row r="1062" spans="1:4" x14ac:dyDescent="0.25">
      <c r="A1062" t="str">
        <f>"1006031"</f>
        <v>1006031</v>
      </c>
      <c r="B1062" t="s">
        <v>1058</v>
      </c>
      <c r="C1062" t="str">
        <f>"29.9"</f>
        <v>29.9</v>
      </c>
      <c r="D1062" t="s">
        <v>1454</v>
      </c>
    </row>
    <row r="1063" spans="1:4" x14ac:dyDescent="0.25">
      <c r="A1063" t="str">
        <f>"9982"</f>
        <v>9982</v>
      </c>
      <c r="B1063" t="s">
        <v>1059</v>
      </c>
      <c r="C1063" t="str">
        <f>"32.6"</f>
        <v>32.6</v>
      </c>
      <c r="D1063" t="s">
        <v>1454</v>
      </c>
    </row>
    <row r="1064" spans="1:4" x14ac:dyDescent="0.25">
      <c r="A1064" t="str">
        <f>"80972"</f>
        <v>80972</v>
      </c>
      <c r="B1064" t="s">
        <v>1060</v>
      </c>
      <c r="C1064" t="str">
        <f>"14.1"</f>
        <v>14.1</v>
      </c>
      <c r="D1064" t="s">
        <v>1454</v>
      </c>
    </row>
    <row r="1065" spans="1:4" x14ac:dyDescent="0.25">
      <c r="A1065" t="str">
        <f>"77564"</f>
        <v>77564</v>
      </c>
      <c r="B1065" t="s">
        <v>1061</v>
      </c>
      <c r="C1065" t="str">
        <f>"33.7"</f>
        <v>33.7</v>
      </c>
      <c r="D1065" t="s">
        <v>1454</v>
      </c>
    </row>
    <row r="1066" spans="1:4" x14ac:dyDescent="0.25">
      <c r="A1066" t="str">
        <f>"9985"</f>
        <v>9985</v>
      </c>
      <c r="B1066" t="s">
        <v>1062</v>
      </c>
      <c r="C1066" t="str">
        <f>"28.8"</f>
        <v>28.8</v>
      </c>
      <c r="D1066" t="s">
        <v>1454</v>
      </c>
    </row>
    <row r="1067" spans="1:4" x14ac:dyDescent="0.25">
      <c r="A1067" t="str">
        <f>"79899"</f>
        <v>79899</v>
      </c>
      <c r="B1067" t="s">
        <v>1063</v>
      </c>
      <c r="C1067" t="str">
        <f>"14.0"</f>
        <v>14.0</v>
      </c>
      <c r="D1067" t="s">
        <v>1454</v>
      </c>
    </row>
    <row r="1068" spans="1:4" x14ac:dyDescent="0.25">
      <c r="A1068" t="str">
        <f>"49119"</f>
        <v>49119</v>
      </c>
      <c r="B1068" t="s">
        <v>1064</v>
      </c>
      <c r="C1068" t="str">
        <f>"8.6"</f>
        <v>8.6</v>
      </c>
      <c r="D1068" t="s">
        <v>1454</v>
      </c>
    </row>
    <row r="1069" spans="1:4" x14ac:dyDescent="0.25">
      <c r="A1069" t="str">
        <f>"7660"</f>
        <v>7660</v>
      </c>
      <c r="B1069" t="s">
        <v>1065</v>
      </c>
      <c r="C1069" t="str">
        <f>"27.0"</f>
        <v>27.0</v>
      </c>
      <c r="D1069" t="s">
        <v>1454</v>
      </c>
    </row>
    <row r="1070" spans="1:4" x14ac:dyDescent="0.25">
      <c r="A1070" t="str">
        <f>"7670"</f>
        <v>7670</v>
      </c>
      <c r="B1070" t="s">
        <v>1066</v>
      </c>
      <c r="C1070" t="str">
        <f>"21.8"</f>
        <v>21.8</v>
      </c>
      <c r="D1070" t="s">
        <v>1454</v>
      </c>
    </row>
    <row r="1071" spans="1:4" x14ac:dyDescent="0.25">
      <c r="A1071" t="str">
        <f>"1008259"</f>
        <v>1008259</v>
      </c>
      <c r="B1071" t="s">
        <v>1067</v>
      </c>
      <c r="C1071" t="str">
        <f>"16.6"</f>
        <v>16.6</v>
      </c>
      <c r="D1071" t="s">
        <v>1454</v>
      </c>
    </row>
    <row r="1072" spans="1:4" x14ac:dyDescent="0.25">
      <c r="A1072" t="str">
        <f>"1002729"</f>
        <v>1002729</v>
      </c>
      <c r="B1072" t="s">
        <v>1068</v>
      </c>
      <c r="C1072" t="str">
        <f>"13.0"</f>
        <v>13.0</v>
      </c>
      <c r="D1072" t="s">
        <v>1454</v>
      </c>
    </row>
    <row r="1073" spans="1:4" x14ac:dyDescent="0.25">
      <c r="A1073" t="str">
        <f>"50646"</f>
        <v>50646</v>
      </c>
      <c r="B1073" t="s">
        <v>1069</v>
      </c>
      <c r="C1073" t="str">
        <f>"16.9"</f>
        <v>16.9</v>
      </c>
      <c r="D1073" t="s">
        <v>1454</v>
      </c>
    </row>
    <row r="1074" spans="1:4" x14ac:dyDescent="0.25">
      <c r="A1074" t="str">
        <f>"22256"</f>
        <v>22256</v>
      </c>
      <c r="B1074" t="s">
        <v>1070</v>
      </c>
      <c r="C1074" t="str">
        <f>"13.1"</f>
        <v>13.1</v>
      </c>
      <c r="D1074" t="s">
        <v>1454</v>
      </c>
    </row>
    <row r="1075" spans="1:4" x14ac:dyDescent="0.25">
      <c r="A1075" t="str">
        <f>"18427"</f>
        <v>18427</v>
      </c>
      <c r="B1075" t="s">
        <v>1071</v>
      </c>
      <c r="C1075" t="str">
        <f>"23.7"</f>
        <v>23.7</v>
      </c>
      <c r="D1075" t="s">
        <v>1454</v>
      </c>
    </row>
    <row r="1076" spans="1:4" x14ac:dyDescent="0.25">
      <c r="A1076" t="str">
        <f>"10261"</f>
        <v>10261</v>
      </c>
      <c r="B1076" t="s">
        <v>1072</v>
      </c>
      <c r="C1076" t="str">
        <f>"12.7"</f>
        <v>12.7</v>
      </c>
      <c r="D1076" t="s">
        <v>1454</v>
      </c>
    </row>
    <row r="1077" spans="1:4" x14ac:dyDescent="0.25">
      <c r="A1077" t="str">
        <f>"10718"</f>
        <v>10718</v>
      </c>
      <c r="B1077" t="s">
        <v>1073</v>
      </c>
      <c r="C1077" t="str">
        <f>"22.3"</f>
        <v>22.3</v>
      </c>
      <c r="D1077" t="s">
        <v>1454</v>
      </c>
    </row>
    <row r="1078" spans="1:4" x14ac:dyDescent="0.25">
      <c r="A1078" t="str">
        <f>"16731"</f>
        <v>16731</v>
      </c>
      <c r="B1078" t="s">
        <v>1074</v>
      </c>
      <c r="C1078" t="str">
        <f>"18.6"</f>
        <v>18.6</v>
      </c>
      <c r="D1078" t="s">
        <v>1454</v>
      </c>
    </row>
    <row r="1079" spans="1:4" x14ac:dyDescent="0.25">
      <c r="A1079" t="str">
        <f>"7666"</f>
        <v>7666</v>
      </c>
      <c r="B1079" t="s">
        <v>1075</v>
      </c>
      <c r="C1079" t="str">
        <f>"18.9"</f>
        <v>18.9</v>
      </c>
      <c r="D1079" t="s">
        <v>1454</v>
      </c>
    </row>
    <row r="1080" spans="1:4" x14ac:dyDescent="0.25">
      <c r="A1080" t="str">
        <f>"9996"</f>
        <v>9996</v>
      </c>
      <c r="B1080" t="s">
        <v>1076</v>
      </c>
      <c r="C1080" t="str">
        <f>"25.1"</f>
        <v>25.1</v>
      </c>
      <c r="D1080" t="s">
        <v>1454</v>
      </c>
    </row>
    <row r="1081" spans="1:4" x14ac:dyDescent="0.25">
      <c r="A1081" t="str">
        <f>"37534"</f>
        <v>37534</v>
      </c>
      <c r="B1081" t="s">
        <v>1077</v>
      </c>
      <c r="C1081" t="str">
        <f>"13.8"</f>
        <v>13.8</v>
      </c>
      <c r="D1081" t="s">
        <v>1454</v>
      </c>
    </row>
    <row r="1082" spans="1:4" x14ac:dyDescent="0.25">
      <c r="A1082" t="str">
        <f>"18430"</f>
        <v>18430</v>
      </c>
      <c r="B1082" t="s">
        <v>1078</v>
      </c>
      <c r="C1082" t="str">
        <f>"25.8"</f>
        <v>25.8</v>
      </c>
      <c r="D1082" t="s">
        <v>1454</v>
      </c>
    </row>
    <row r="1083" spans="1:4" x14ac:dyDescent="0.25">
      <c r="A1083" t="str">
        <f>"10359"</f>
        <v>10359</v>
      </c>
      <c r="B1083" t="s">
        <v>1079</v>
      </c>
      <c r="C1083" t="str">
        <f>"19.9"</f>
        <v>19.9</v>
      </c>
      <c r="D1083" t="s">
        <v>1454</v>
      </c>
    </row>
    <row r="1084" spans="1:4" x14ac:dyDescent="0.25">
      <c r="A1084" t="str">
        <f>"64324"</f>
        <v>64324</v>
      </c>
      <c r="B1084" t="s">
        <v>1080</v>
      </c>
      <c r="C1084" t="str">
        <f>"14.4"</f>
        <v>14.4</v>
      </c>
      <c r="D1084" t="s">
        <v>1454</v>
      </c>
    </row>
    <row r="1085" spans="1:4" x14ac:dyDescent="0.25">
      <c r="A1085" t="str">
        <f>"10000"</f>
        <v>10000</v>
      </c>
      <c r="B1085" t="s">
        <v>1081</v>
      </c>
      <c r="C1085" t="str">
        <f>"11.8"</f>
        <v>11.8</v>
      </c>
      <c r="D1085" t="s">
        <v>1454</v>
      </c>
    </row>
    <row r="1086" spans="1:4" x14ac:dyDescent="0.25">
      <c r="A1086" t="str">
        <f>"1002728"</f>
        <v>1002728</v>
      </c>
      <c r="B1086" t="s">
        <v>1082</v>
      </c>
      <c r="C1086" t="str">
        <f>"15.4"</f>
        <v>15.4</v>
      </c>
      <c r="D1086" t="s">
        <v>1454</v>
      </c>
    </row>
    <row r="1087" spans="1:4" x14ac:dyDescent="0.25">
      <c r="A1087" t="str">
        <f>"10262"</f>
        <v>10262</v>
      </c>
      <c r="B1087" t="s">
        <v>1083</v>
      </c>
      <c r="C1087" t="str">
        <f>"14.1"</f>
        <v>14.1</v>
      </c>
      <c r="D1087" t="s">
        <v>1454</v>
      </c>
    </row>
    <row r="1088" spans="1:4" x14ac:dyDescent="0.25">
      <c r="A1088" t="str">
        <f>"75890"</f>
        <v>75890</v>
      </c>
      <c r="B1088" t="s">
        <v>1084</v>
      </c>
      <c r="C1088" t="str">
        <f>"17.0"</f>
        <v>17.0</v>
      </c>
      <c r="D1088" t="s">
        <v>1454</v>
      </c>
    </row>
    <row r="1089" spans="1:4" x14ac:dyDescent="0.25">
      <c r="A1089" t="str">
        <f>"76563"</f>
        <v>76563</v>
      </c>
      <c r="B1089" t="s">
        <v>1085</v>
      </c>
      <c r="C1089" t="str">
        <f>"27.4"</f>
        <v>27.4</v>
      </c>
      <c r="D1089" t="s">
        <v>1454</v>
      </c>
    </row>
    <row r="1090" spans="1:4" x14ac:dyDescent="0.25">
      <c r="A1090" t="str">
        <f>"68353"</f>
        <v>68353</v>
      </c>
      <c r="B1090" t="s">
        <v>1086</v>
      </c>
      <c r="C1090" t="str">
        <f>"7.0"</f>
        <v>7.0</v>
      </c>
      <c r="D1090" t="s">
        <v>1454</v>
      </c>
    </row>
    <row r="1091" spans="1:4" x14ac:dyDescent="0.25">
      <c r="A1091" t="str">
        <f>"10002"</f>
        <v>10002</v>
      </c>
      <c r="B1091" t="s">
        <v>1087</v>
      </c>
      <c r="C1091" t="str">
        <f>"22.0"</f>
        <v>22.0</v>
      </c>
      <c r="D1091" t="s">
        <v>1454</v>
      </c>
    </row>
    <row r="1092" spans="1:4" x14ac:dyDescent="0.25">
      <c r="A1092" t="str">
        <f>"1001281"</f>
        <v>1001281</v>
      </c>
      <c r="B1092" t="s">
        <v>1088</v>
      </c>
      <c r="C1092" t="str">
        <f>"17.0"</f>
        <v>17.0</v>
      </c>
      <c r="D1092" t="s">
        <v>1454</v>
      </c>
    </row>
    <row r="1093" spans="1:4" x14ac:dyDescent="0.25">
      <c r="A1093" t="str">
        <f>"60789"</f>
        <v>60789</v>
      </c>
      <c r="B1093" t="s">
        <v>1089</v>
      </c>
      <c r="C1093" t="str">
        <f>"23.2"</f>
        <v>23.2</v>
      </c>
      <c r="D1093" t="s">
        <v>1454</v>
      </c>
    </row>
    <row r="1094" spans="1:4" x14ac:dyDescent="0.25">
      <c r="A1094" t="str">
        <f>"7659"</f>
        <v>7659</v>
      </c>
      <c r="B1094" t="s">
        <v>1090</v>
      </c>
      <c r="C1094" t="str">
        <f>"25.2"</f>
        <v>25.2</v>
      </c>
      <c r="D1094" t="s">
        <v>1454</v>
      </c>
    </row>
    <row r="1095" spans="1:4" x14ac:dyDescent="0.25">
      <c r="A1095" t="str">
        <f>"10008"</f>
        <v>10008</v>
      </c>
      <c r="B1095" t="s">
        <v>1091</v>
      </c>
      <c r="C1095" t="str">
        <f>"17.3"</f>
        <v>17.3</v>
      </c>
      <c r="D1095" t="s">
        <v>1454</v>
      </c>
    </row>
    <row r="1096" spans="1:4" x14ac:dyDescent="0.25">
      <c r="A1096" t="str">
        <f>"10011"</f>
        <v>10011</v>
      </c>
      <c r="B1096" t="s">
        <v>1092</v>
      </c>
      <c r="C1096" t="str">
        <f>"22.6"</f>
        <v>22.6</v>
      </c>
      <c r="D1096" t="s">
        <v>1454</v>
      </c>
    </row>
    <row r="1097" spans="1:4" x14ac:dyDescent="0.25">
      <c r="A1097" t="str">
        <f>"10016"</f>
        <v>10016</v>
      </c>
      <c r="B1097" t="s">
        <v>1093</v>
      </c>
      <c r="C1097" t="str">
        <f>"20.9"</f>
        <v>20.9</v>
      </c>
      <c r="D1097" t="s">
        <v>1454</v>
      </c>
    </row>
    <row r="1098" spans="1:4" x14ac:dyDescent="0.25">
      <c r="A1098" t="str">
        <f>"10020"</f>
        <v>10020</v>
      </c>
      <c r="B1098" t="s">
        <v>1094</v>
      </c>
      <c r="C1098" t="str">
        <f>"18.7"</f>
        <v>18.7</v>
      </c>
      <c r="D1098" t="s">
        <v>1454</v>
      </c>
    </row>
    <row r="1099" spans="1:4" x14ac:dyDescent="0.25">
      <c r="A1099" t="str">
        <f>"1008941"</f>
        <v>1008941</v>
      </c>
      <c r="B1099" t="s">
        <v>1095</v>
      </c>
      <c r="C1099" t="str">
        <f>"17.1"</f>
        <v>17.1</v>
      </c>
      <c r="D1099" t="s">
        <v>1454</v>
      </c>
    </row>
    <row r="1100" spans="1:4" x14ac:dyDescent="0.25">
      <c r="A1100" t="str">
        <f>"10502"</f>
        <v>10502</v>
      </c>
      <c r="B1100" t="s">
        <v>1096</v>
      </c>
      <c r="C1100" t="str">
        <f>"18.9"</f>
        <v>18.9</v>
      </c>
      <c r="D1100" t="s">
        <v>1454</v>
      </c>
    </row>
    <row r="1101" spans="1:4" x14ac:dyDescent="0.25">
      <c r="A1101" t="str">
        <f>"1008940"</f>
        <v>1008940</v>
      </c>
      <c r="B1101" t="s">
        <v>1097</v>
      </c>
      <c r="C1101" t="str">
        <f>"8.3000"</f>
        <v>8.3000</v>
      </c>
      <c r="D1101" t="s">
        <v>1454</v>
      </c>
    </row>
    <row r="1102" spans="1:4" x14ac:dyDescent="0.25">
      <c r="A1102" t="str">
        <f>"81191"</f>
        <v>81191</v>
      </c>
      <c r="B1102" t="s">
        <v>1098</v>
      </c>
      <c r="C1102" t="str">
        <f>"30.6"</f>
        <v>30.6</v>
      </c>
      <c r="D1102" t="s">
        <v>1454</v>
      </c>
    </row>
    <row r="1103" spans="1:4" x14ac:dyDescent="0.25">
      <c r="A1103" t="str">
        <f>"10022"</f>
        <v>10022</v>
      </c>
      <c r="B1103" t="s">
        <v>1099</v>
      </c>
      <c r="C1103" t="str">
        <f>"16.9"</f>
        <v>16.9</v>
      </c>
      <c r="D1103" t="s">
        <v>1454</v>
      </c>
    </row>
    <row r="1104" spans="1:4" x14ac:dyDescent="0.25">
      <c r="A1104" t="str">
        <f>"10023"</f>
        <v>10023</v>
      </c>
      <c r="B1104" t="s">
        <v>1100</v>
      </c>
      <c r="C1104" t="str">
        <f>"+1.8"</f>
        <v>+1.8</v>
      </c>
      <c r="D1104" t="s">
        <v>1454</v>
      </c>
    </row>
    <row r="1105" spans="1:4" x14ac:dyDescent="0.25">
      <c r="A1105" t="str">
        <f>"10025"</f>
        <v>10025</v>
      </c>
      <c r="B1105" t="s">
        <v>1101</v>
      </c>
      <c r="C1105" t="str">
        <f>"24.7"</f>
        <v>24.7</v>
      </c>
      <c r="D1105" t="s">
        <v>1454</v>
      </c>
    </row>
    <row r="1106" spans="1:4" x14ac:dyDescent="0.25">
      <c r="A1106" t="str">
        <f>"10026"</f>
        <v>10026</v>
      </c>
      <c r="B1106" t="s">
        <v>1102</v>
      </c>
      <c r="C1106" t="str">
        <f>"18.8"</f>
        <v>18.8</v>
      </c>
      <c r="D1106" t="s">
        <v>1454</v>
      </c>
    </row>
    <row r="1107" spans="1:4" x14ac:dyDescent="0.25">
      <c r="A1107" t="str">
        <f>"10027"</f>
        <v>10027</v>
      </c>
      <c r="B1107" t="s">
        <v>1103</v>
      </c>
      <c r="C1107" t="str">
        <f>"13.9"</f>
        <v>13.9</v>
      </c>
      <c r="D1107" t="s">
        <v>1454</v>
      </c>
    </row>
    <row r="1108" spans="1:4" x14ac:dyDescent="0.25">
      <c r="A1108" t="str">
        <f>"8441"</f>
        <v>8441</v>
      </c>
      <c r="B1108" t="s">
        <v>1104</v>
      </c>
      <c r="C1108" t="str">
        <f>"14.1"</f>
        <v>14.1</v>
      </c>
      <c r="D1108" t="s">
        <v>1454</v>
      </c>
    </row>
    <row r="1109" spans="1:4" x14ac:dyDescent="0.25">
      <c r="A1109" t="str">
        <f>"10292"</f>
        <v>10292</v>
      </c>
      <c r="B1109" t="s">
        <v>1105</v>
      </c>
      <c r="C1109" t="str">
        <f>"22.3"</f>
        <v>22.3</v>
      </c>
      <c r="D1109" t="s">
        <v>1454</v>
      </c>
    </row>
    <row r="1110" spans="1:4" x14ac:dyDescent="0.25">
      <c r="A1110" t="str">
        <f>"1006965"</f>
        <v>1006965</v>
      </c>
      <c r="B1110" t="s">
        <v>1106</v>
      </c>
      <c r="C1110" t="str">
        <f>"19.9"</f>
        <v>19.9</v>
      </c>
      <c r="D1110" t="s">
        <v>1454</v>
      </c>
    </row>
    <row r="1111" spans="1:4" x14ac:dyDescent="0.25">
      <c r="A1111" t="str">
        <f>"66238"</f>
        <v>66238</v>
      </c>
      <c r="B1111" t="s">
        <v>1107</v>
      </c>
      <c r="C1111" t="str">
        <f>"18.4"</f>
        <v>18.4</v>
      </c>
      <c r="D1111" t="s">
        <v>1454</v>
      </c>
    </row>
    <row r="1112" spans="1:4" x14ac:dyDescent="0.25">
      <c r="A1112" t="str">
        <f>"79551"</f>
        <v>79551</v>
      </c>
      <c r="B1112" t="s">
        <v>1108</v>
      </c>
      <c r="C1112" t="str">
        <f>"22.4"</f>
        <v>22.4</v>
      </c>
      <c r="D1112" t="s">
        <v>1454</v>
      </c>
    </row>
    <row r="1113" spans="1:4" x14ac:dyDescent="0.25">
      <c r="A1113" t="str">
        <f>"79550"</f>
        <v>79550</v>
      </c>
      <c r="B1113" t="s">
        <v>1109</v>
      </c>
      <c r="C1113" t="str">
        <f>"5.9"</f>
        <v>5.9</v>
      </c>
      <c r="D1113" t="s">
        <v>1454</v>
      </c>
    </row>
    <row r="1114" spans="1:4" x14ac:dyDescent="0.25">
      <c r="A1114" t="str">
        <f>"1001164"</f>
        <v>1001164</v>
      </c>
      <c r="B1114" t="s">
        <v>1110</v>
      </c>
      <c r="C1114" t="str">
        <f>"14.8"</f>
        <v>14.8</v>
      </c>
      <c r="D1114" t="s">
        <v>1454</v>
      </c>
    </row>
    <row r="1115" spans="1:4" x14ac:dyDescent="0.25">
      <c r="A1115" t="str">
        <f>"10043"</f>
        <v>10043</v>
      </c>
      <c r="B1115" t="s">
        <v>1111</v>
      </c>
      <c r="C1115" t="str">
        <f>"23.6"</f>
        <v>23.6</v>
      </c>
      <c r="D1115" t="s">
        <v>1454</v>
      </c>
    </row>
    <row r="1116" spans="1:4" x14ac:dyDescent="0.25">
      <c r="A1116" t="str">
        <f>"10044"</f>
        <v>10044</v>
      </c>
      <c r="B1116" t="s">
        <v>1112</v>
      </c>
      <c r="C1116" t="str">
        <f>"1.6"</f>
        <v>1.6</v>
      </c>
      <c r="D1116" t="s">
        <v>1454</v>
      </c>
    </row>
    <row r="1117" spans="1:4" x14ac:dyDescent="0.25">
      <c r="A1117" t="str">
        <f>"17056"</f>
        <v>17056</v>
      </c>
      <c r="B1117" t="s">
        <v>1113</v>
      </c>
      <c r="C1117" t="str">
        <f>"18.6"</f>
        <v>18.6</v>
      </c>
      <c r="D1117" t="s">
        <v>1454</v>
      </c>
    </row>
    <row r="1118" spans="1:4" x14ac:dyDescent="0.25">
      <c r="A1118" t="str">
        <f>"10301"</f>
        <v>10301</v>
      </c>
      <c r="B1118" t="s">
        <v>1114</v>
      </c>
      <c r="C1118" t="str">
        <f>"8.0"</f>
        <v>8.0</v>
      </c>
      <c r="D1118" t="s">
        <v>1454</v>
      </c>
    </row>
    <row r="1119" spans="1:4" x14ac:dyDescent="0.25">
      <c r="A1119" t="str">
        <f>"10046"</f>
        <v>10046</v>
      </c>
      <c r="B1119" t="s">
        <v>1115</v>
      </c>
      <c r="C1119" t="str">
        <f>"33.3000"</f>
        <v>33.3000</v>
      </c>
      <c r="D1119" t="s">
        <v>1454</v>
      </c>
    </row>
    <row r="1120" spans="1:4" x14ac:dyDescent="0.25">
      <c r="A1120" t="str">
        <f>"1006131"</f>
        <v>1006131</v>
      </c>
      <c r="B1120" t="s">
        <v>1116</v>
      </c>
      <c r="C1120" t="str">
        <f>"4.9"</f>
        <v>4.9</v>
      </c>
      <c r="D1120" t="s">
        <v>1454</v>
      </c>
    </row>
    <row r="1121" spans="1:4" x14ac:dyDescent="0.25">
      <c r="A1121" t="str">
        <f>"46948"</f>
        <v>46948</v>
      </c>
      <c r="B1121" t="s">
        <v>1117</v>
      </c>
      <c r="C1121" t="str">
        <f>"6.7"</f>
        <v>6.7</v>
      </c>
      <c r="D1121" t="s">
        <v>1454</v>
      </c>
    </row>
    <row r="1122" spans="1:4" x14ac:dyDescent="0.25">
      <c r="A1122" t="str">
        <f>"42446"</f>
        <v>42446</v>
      </c>
      <c r="B1122" t="s">
        <v>1118</v>
      </c>
      <c r="C1122" t="str">
        <f>"42.4"</f>
        <v>42.4</v>
      </c>
      <c r="D1122" t="s">
        <v>1454</v>
      </c>
    </row>
    <row r="1123" spans="1:4" x14ac:dyDescent="0.25">
      <c r="A1123" t="str">
        <f>"15217"</f>
        <v>15217</v>
      </c>
      <c r="B1123" t="s">
        <v>1119</v>
      </c>
      <c r="C1123" t="str">
        <f>"18.9"</f>
        <v>18.9</v>
      </c>
      <c r="D1123" t="s">
        <v>1454</v>
      </c>
    </row>
    <row r="1124" spans="1:4" x14ac:dyDescent="0.25">
      <c r="A1124" t="str">
        <f>"64384"</f>
        <v>64384</v>
      </c>
      <c r="B1124" t="s">
        <v>1120</v>
      </c>
      <c r="C1124" t="str">
        <f>"19.6"</f>
        <v>19.6</v>
      </c>
      <c r="D1124" t="s">
        <v>1454</v>
      </c>
    </row>
    <row r="1125" spans="1:4" x14ac:dyDescent="0.25">
      <c r="A1125" t="str">
        <f>"67160"</f>
        <v>67160</v>
      </c>
      <c r="B1125" t="s">
        <v>1121</v>
      </c>
      <c r="C1125" t="str">
        <f>"18.3"</f>
        <v>18.3</v>
      </c>
      <c r="D1125" t="s">
        <v>1454</v>
      </c>
    </row>
    <row r="1126" spans="1:4" x14ac:dyDescent="0.25">
      <c r="A1126" t="str">
        <f>"73956"</f>
        <v>73956</v>
      </c>
      <c r="B1126" t="s">
        <v>1122</v>
      </c>
      <c r="C1126" t="str">
        <f>"12.3"</f>
        <v>12.3</v>
      </c>
      <c r="D1126" t="s">
        <v>1454</v>
      </c>
    </row>
    <row r="1127" spans="1:4" x14ac:dyDescent="0.25">
      <c r="A1127" t="str">
        <f>"10050"</f>
        <v>10050</v>
      </c>
      <c r="B1127" t="s">
        <v>1123</v>
      </c>
      <c r="C1127" t="str">
        <f>"12.4"</f>
        <v>12.4</v>
      </c>
      <c r="D1127" t="s">
        <v>1454</v>
      </c>
    </row>
    <row r="1128" spans="1:4" x14ac:dyDescent="0.25">
      <c r="A1128" t="str">
        <f>"50722"</f>
        <v>50722</v>
      </c>
      <c r="B1128" t="s">
        <v>1124</v>
      </c>
      <c r="C1128" t="str">
        <f>"27.1"</f>
        <v>27.1</v>
      </c>
      <c r="D1128" t="s">
        <v>1454</v>
      </c>
    </row>
    <row r="1129" spans="1:4" x14ac:dyDescent="0.25">
      <c r="A1129" t="str">
        <f>"10051"</f>
        <v>10051</v>
      </c>
      <c r="B1129" t="s">
        <v>1125</v>
      </c>
      <c r="C1129" t="str">
        <f>"21.8"</f>
        <v>21.8</v>
      </c>
      <c r="D1129" t="s">
        <v>1454</v>
      </c>
    </row>
    <row r="1130" spans="1:4" x14ac:dyDescent="0.25">
      <c r="A1130" t="str">
        <f>"61960"</f>
        <v>61960</v>
      </c>
      <c r="B1130" t="s">
        <v>1126</v>
      </c>
      <c r="C1130" t="str">
        <f>"20.3"</f>
        <v>20.3</v>
      </c>
      <c r="D1130" t="s">
        <v>1454</v>
      </c>
    </row>
    <row r="1131" spans="1:4" x14ac:dyDescent="0.25">
      <c r="A1131" t="str">
        <f>"68487"</f>
        <v>68487</v>
      </c>
      <c r="B1131" t="s">
        <v>1127</v>
      </c>
      <c r="C1131" t="str">
        <f>"9.0"</f>
        <v>9.0</v>
      </c>
      <c r="D1131" t="s">
        <v>1454</v>
      </c>
    </row>
    <row r="1132" spans="1:4" x14ac:dyDescent="0.25">
      <c r="A1132" t="str">
        <f>"10057"</f>
        <v>10057</v>
      </c>
      <c r="B1132" t="s">
        <v>1128</v>
      </c>
      <c r="C1132" t="str">
        <f>"20.9"</f>
        <v>20.9</v>
      </c>
      <c r="D1132" t="s">
        <v>1454</v>
      </c>
    </row>
    <row r="1133" spans="1:4" x14ac:dyDescent="0.25">
      <c r="A1133" t="str">
        <f>"80736"</f>
        <v>80736</v>
      </c>
      <c r="B1133" t="s">
        <v>1129</v>
      </c>
      <c r="C1133" t="str">
        <f>"16.7"</f>
        <v>16.7</v>
      </c>
      <c r="D1133" t="s">
        <v>1454</v>
      </c>
    </row>
    <row r="1134" spans="1:4" x14ac:dyDescent="0.25">
      <c r="A1134" t="str">
        <f>"10058"</f>
        <v>10058</v>
      </c>
      <c r="B1134" t="s">
        <v>1130</v>
      </c>
      <c r="C1134" t="str">
        <f>"23.7"</f>
        <v>23.7</v>
      </c>
      <c r="D1134" t="s">
        <v>1454</v>
      </c>
    </row>
    <row r="1135" spans="1:4" x14ac:dyDescent="0.25">
      <c r="A1135" t="str">
        <f>"3861"</f>
        <v>3861</v>
      </c>
      <c r="B1135" t="s">
        <v>1131</v>
      </c>
      <c r="C1135" t="str">
        <f>"9.2"</f>
        <v>9.2</v>
      </c>
      <c r="D1135" t="s">
        <v>1454</v>
      </c>
    </row>
    <row r="1136" spans="1:4" x14ac:dyDescent="0.25">
      <c r="A1136" t="str">
        <f>"10431"</f>
        <v>10431</v>
      </c>
      <c r="B1136" t="s">
        <v>1132</v>
      </c>
      <c r="C1136" t="str">
        <f>"18.7"</f>
        <v>18.7</v>
      </c>
      <c r="D1136" t="s">
        <v>1454</v>
      </c>
    </row>
    <row r="1137" spans="1:4" x14ac:dyDescent="0.25">
      <c r="A1137" t="str">
        <f>"1000446"</f>
        <v>1000446</v>
      </c>
      <c r="B1137" t="s">
        <v>1133</v>
      </c>
      <c r="C1137" t="str">
        <f>"29.6"</f>
        <v>29.6</v>
      </c>
      <c r="D1137" t="s">
        <v>1454</v>
      </c>
    </row>
    <row r="1138" spans="1:4" x14ac:dyDescent="0.25">
      <c r="A1138" t="str">
        <f>"75921"</f>
        <v>75921</v>
      </c>
      <c r="B1138" t="s">
        <v>1134</v>
      </c>
      <c r="C1138" t="str">
        <f>"7.9"</f>
        <v>7.9</v>
      </c>
      <c r="D1138" t="s">
        <v>1454</v>
      </c>
    </row>
    <row r="1139" spans="1:4" x14ac:dyDescent="0.25">
      <c r="A1139" t="str">
        <f>"22311"</f>
        <v>22311</v>
      </c>
      <c r="B1139" t="s">
        <v>1135</v>
      </c>
      <c r="C1139" t="str">
        <f>"15.4"</f>
        <v>15.4</v>
      </c>
      <c r="D1139" t="s">
        <v>1454</v>
      </c>
    </row>
    <row r="1140" spans="1:4" x14ac:dyDescent="0.25">
      <c r="A1140" t="str">
        <f>"10062"</f>
        <v>10062</v>
      </c>
      <c r="B1140" t="s">
        <v>1136</v>
      </c>
      <c r="C1140" t="str">
        <f>"23.0"</f>
        <v>23.0</v>
      </c>
      <c r="D1140" t="s">
        <v>1454</v>
      </c>
    </row>
    <row r="1141" spans="1:4" x14ac:dyDescent="0.25">
      <c r="A1141" t="str">
        <f>"51076"</f>
        <v>51076</v>
      </c>
      <c r="B1141" t="s">
        <v>1137</v>
      </c>
      <c r="C1141" t="str">
        <f>"12.3"</f>
        <v>12.3</v>
      </c>
      <c r="D1141" t="s">
        <v>1454</v>
      </c>
    </row>
    <row r="1142" spans="1:4" x14ac:dyDescent="0.25">
      <c r="A1142" t="str">
        <f>"10064"</f>
        <v>10064</v>
      </c>
      <c r="B1142" t="s">
        <v>1138</v>
      </c>
      <c r="C1142" t="str">
        <f>"24.3"</f>
        <v>24.3</v>
      </c>
      <c r="D1142" t="s">
        <v>1454</v>
      </c>
    </row>
    <row r="1143" spans="1:4" x14ac:dyDescent="0.25">
      <c r="A1143" t="str">
        <f>"10518"</f>
        <v>10518</v>
      </c>
      <c r="B1143" t="s">
        <v>1139</v>
      </c>
      <c r="C1143" t="str">
        <f>"25.3"</f>
        <v>25.3</v>
      </c>
      <c r="D1143" t="s">
        <v>1454</v>
      </c>
    </row>
    <row r="1144" spans="1:4" x14ac:dyDescent="0.25">
      <c r="A1144" t="str">
        <f>"10466"</f>
        <v>10466</v>
      </c>
      <c r="B1144" t="s">
        <v>1140</v>
      </c>
      <c r="C1144" t="str">
        <f>"21.2"</f>
        <v>21.2</v>
      </c>
      <c r="D1144" t="s">
        <v>1454</v>
      </c>
    </row>
    <row r="1145" spans="1:4" x14ac:dyDescent="0.25">
      <c r="A1145" t="str">
        <f>"49750"</f>
        <v>49750</v>
      </c>
      <c r="B1145" t="s">
        <v>1141</v>
      </c>
      <c r="C1145" t="str">
        <f>"15.8"</f>
        <v>15.8</v>
      </c>
      <c r="D1145" t="s">
        <v>1454</v>
      </c>
    </row>
    <row r="1146" spans="1:4" x14ac:dyDescent="0.25">
      <c r="A1146" t="str">
        <f>"49108"</f>
        <v>49108</v>
      </c>
      <c r="B1146" t="s">
        <v>1142</v>
      </c>
      <c r="C1146" t="str">
        <f>"12.7"</f>
        <v>12.7</v>
      </c>
      <c r="D1146" t="s">
        <v>1454</v>
      </c>
    </row>
    <row r="1147" spans="1:4" x14ac:dyDescent="0.25">
      <c r="A1147" t="str">
        <f>"10067"</f>
        <v>10067</v>
      </c>
      <c r="B1147" t="s">
        <v>1143</v>
      </c>
      <c r="C1147" t="str">
        <f>"2.7"</f>
        <v>2.7</v>
      </c>
      <c r="D1147" t="s">
        <v>1454</v>
      </c>
    </row>
    <row r="1148" spans="1:4" x14ac:dyDescent="0.25">
      <c r="A1148" t="str">
        <f>"10071"</f>
        <v>10071</v>
      </c>
      <c r="B1148" t="s">
        <v>1144</v>
      </c>
      <c r="C1148" t="str">
        <f>"20.5"</f>
        <v>20.5</v>
      </c>
      <c r="D1148" t="s">
        <v>1454</v>
      </c>
    </row>
    <row r="1149" spans="1:4" x14ac:dyDescent="0.25">
      <c r="A1149" t="str">
        <f>"10072"</f>
        <v>10072</v>
      </c>
      <c r="B1149" t="s">
        <v>1145</v>
      </c>
      <c r="C1149" t="str">
        <f>"18.8"</f>
        <v>18.8</v>
      </c>
      <c r="D1149" t="s">
        <v>1454</v>
      </c>
    </row>
    <row r="1150" spans="1:4" x14ac:dyDescent="0.25">
      <c r="A1150" t="str">
        <f>"68587"</f>
        <v>68587</v>
      </c>
      <c r="B1150" t="s">
        <v>1146</v>
      </c>
      <c r="C1150" t="str">
        <f>"19.7"</f>
        <v>19.7</v>
      </c>
      <c r="D1150" t="s">
        <v>1454</v>
      </c>
    </row>
    <row r="1151" spans="1:4" x14ac:dyDescent="0.25">
      <c r="A1151" t="str">
        <f>"1006130"</f>
        <v>1006130</v>
      </c>
      <c r="B1151" t="s">
        <v>1147</v>
      </c>
      <c r="C1151" t="str">
        <f>"22.3"</f>
        <v>22.3</v>
      </c>
      <c r="D1151" t="s">
        <v>1454</v>
      </c>
    </row>
    <row r="1152" spans="1:4" x14ac:dyDescent="0.25">
      <c r="A1152" t="str">
        <f>"77571"</f>
        <v>77571</v>
      </c>
      <c r="B1152" t="s">
        <v>1148</v>
      </c>
      <c r="C1152" t="str">
        <f>"17.6"</f>
        <v>17.6</v>
      </c>
      <c r="D1152" t="s">
        <v>1454</v>
      </c>
    </row>
    <row r="1153" spans="1:4" x14ac:dyDescent="0.25">
      <c r="A1153" t="str">
        <f>"10075"</f>
        <v>10075</v>
      </c>
      <c r="B1153" t="s">
        <v>1149</v>
      </c>
      <c r="C1153" t="str">
        <f>"16.8"</f>
        <v>16.8</v>
      </c>
      <c r="D1153" t="s">
        <v>1454</v>
      </c>
    </row>
    <row r="1154" spans="1:4" x14ac:dyDescent="0.25">
      <c r="A1154" t="str">
        <f>"12967"</f>
        <v>12967</v>
      </c>
      <c r="B1154" t="s">
        <v>1150</v>
      </c>
      <c r="C1154" t="str">
        <f>"9.1"</f>
        <v>9.1</v>
      </c>
      <c r="D1154" t="s">
        <v>1454</v>
      </c>
    </row>
    <row r="1155" spans="1:4" x14ac:dyDescent="0.25">
      <c r="A1155" t="str">
        <f>"13437"</f>
        <v>13437</v>
      </c>
      <c r="B1155" t="s">
        <v>1151</v>
      </c>
      <c r="C1155" t="str">
        <f>"18.6"</f>
        <v>18.6</v>
      </c>
      <c r="D1155" t="s">
        <v>1454</v>
      </c>
    </row>
    <row r="1156" spans="1:4" x14ac:dyDescent="0.25">
      <c r="A1156" t="str">
        <f>"12971"</f>
        <v>12971</v>
      </c>
      <c r="B1156" t="s">
        <v>1152</v>
      </c>
      <c r="C1156" t="str">
        <f>"37.0"</f>
        <v>37.0</v>
      </c>
      <c r="D1156" t="s">
        <v>1454</v>
      </c>
    </row>
    <row r="1157" spans="1:4" x14ac:dyDescent="0.25">
      <c r="A1157" t="str">
        <f>"75906"</f>
        <v>75906</v>
      </c>
      <c r="B1157" t="s">
        <v>1153</v>
      </c>
      <c r="C1157" t="str">
        <f>"23.2"</f>
        <v>23.2</v>
      </c>
      <c r="D1157" t="s">
        <v>1454</v>
      </c>
    </row>
    <row r="1158" spans="1:4" x14ac:dyDescent="0.25">
      <c r="A1158" t="str">
        <f>"38684"</f>
        <v>38684</v>
      </c>
      <c r="B1158" t="s">
        <v>1154</v>
      </c>
      <c r="C1158" t="str">
        <f>"20.7"</f>
        <v>20.7</v>
      </c>
      <c r="D1158" t="s">
        <v>1454</v>
      </c>
    </row>
    <row r="1159" spans="1:4" x14ac:dyDescent="0.25">
      <c r="A1159" t="str">
        <f>"71197"</f>
        <v>71197</v>
      </c>
      <c r="B1159" t="s">
        <v>1155</v>
      </c>
      <c r="C1159" t="str">
        <f>"27.9"</f>
        <v>27.9</v>
      </c>
      <c r="D1159" t="s">
        <v>1454</v>
      </c>
    </row>
    <row r="1160" spans="1:4" x14ac:dyDescent="0.25">
      <c r="A1160" t="str">
        <f>"1009447"</f>
        <v>1009447</v>
      </c>
      <c r="B1160" t="s">
        <v>1156</v>
      </c>
      <c r="C1160" t="str">
        <f>"17.8"</f>
        <v>17.8</v>
      </c>
      <c r="D1160" t="s">
        <v>1454</v>
      </c>
    </row>
    <row r="1161" spans="1:4" x14ac:dyDescent="0.25">
      <c r="A1161" t="str">
        <f>"10078"</f>
        <v>10078</v>
      </c>
      <c r="B1161" t="s">
        <v>1157</v>
      </c>
      <c r="C1161" t="str">
        <f>"19.7"</f>
        <v>19.7</v>
      </c>
      <c r="D1161" t="s">
        <v>1454</v>
      </c>
    </row>
    <row r="1162" spans="1:4" x14ac:dyDescent="0.25">
      <c r="A1162" t="str">
        <f>"10578"</f>
        <v>10578</v>
      </c>
      <c r="B1162" t="s">
        <v>1158</v>
      </c>
      <c r="C1162" t="str">
        <f>"19.1"</f>
        <v>19.1</v>
      </c>
      <c r="D1162" t="s">
        <v>1454</v>
      </c>
    </row>
    <row r="1163" spans="1:4" x14ac:dyDescent="0.25">
      <c r="A1163" t="str">
        <f>"68752"</f>
        <v>68752</v>
      </c>
      <c r="B1163" t="s">
        <v>1159</v>
      </c>
      <c r="C1163" t="str">
        <f>"11.4"</f>
        <v>11.4</v>
      </c>
      <c r="D1163" t="s">
        <v>1454</v>
      </c>
    </row>
    <row r="1164" spans="1:4" x14ac:dyDescent="0.25">
      <c r="A1164" t="str">
        <f>"12986"</f>
        <v>12986</v>
      </c>
      <c r="B1164" t="s">
        <v>1160</v>
      </c>
      <c r="C1164" t="str">
        <f>"23.8"</f>
        <v>23.8</v>
      </c>
      <c r="D1164" t="s">
        <v>1454</v>
      </c>
    </row>
    <row r="1165" spans="1:4" x14ac:dyDescent="0.25">
      <c r="A1165" t="str">
        <f>"44121"</f>
        <v>44121</v>
      </c>
      <c r="B1165" t="s">
        <v>1161</v>
      </c>
      <c r="C1165" t="str">
        <f>"17.3"</f>
        <v>17.3</v>
      </c>
      <c r="D1165" t="s">
        <v>1454</v>
      </c>
    </row>
    <row r="1166" spans="1:4" x14ac:dyDescent="0.25">
      <c r="A1166" t="str">
        <f>"71555"</f>
        <v>71555</v>
      </c>
      <c r="B1166" t="s">
        <v>1162</v>
      </c>
      <c r="C1166" t="str">
        <f>"15.7"</f>
        <v>15.7</v>
      </c>
      <c r="D1166" t="s">
        <v>1454</v>
      </c>
    </row>
    <row r="1167" spans="1:4" x14ac:dyDescent="0.25">
      <c r="A1167" t="str">
        <f>"1005080"</f>
        <v>1005080</v>
      </c>
      <c r="B1167" t="s">
        <v>1163</v>
      </c>
      <c r="C1167" t="str">
        <f>"18.3"</f>
        <v>18.3</v>
      </c>
      <c r="D1167" t="s">
        <v>1454</v>
      </c>
    </row>
    <row r="1168" spans="1:4" x14ac:dyDescent="0.25">
      <c r="A1168" t="str">
        <f>"1006448"</f>
        <v>1006448</v>
      </c>
      <c r="B1168" t="s">
        <v>1164</v>
      </c>
      <c r="C1168" t="str">
        <f>"18.7"</f>
        <v>18.7</v>
      </c>
      <c r="D1168" t="s">
        <v>1454</v>
      </c>
    </row>
    <row r="1169" spans="1:4" x14ac:dyDescent="0.25">
      <c r="A1169" t="str">
        <f>"10080"</f>
        <v>10080</v>
      </c>
      <c r="B1169" t="s">
        <v>1165</v>
      </c>
      <c r="C1169" t="str">
        <f>"12.2"</f>
        <v>12.2</v>
      </c>
      <c r="D1169" t="s">
        <v>1454</v>
      </c>
    </row>
    <row r="1170" spans="1:4" x14ac:dyDescent="0.25">
      <c r="A1170" t="str">
        <f>"38455"</f>
        <v>38455</v>
      </c>
      <c r="B1170" t="s">
        <v>1166</v>
      </c>
      <c r="C1170" t="str">
        <f>"12.6"</f>
        <v>12.6</v>
      </c>
      <c r="D1170" t="s">
        <v>1454</v>
      </c>
    </row>
    <row r="1171" spans="1:4" x14ac:dyDescent="0.25">
      <c r="A1171" t="str">
        <f>"10084"</f>
        <v>10084</v>
      </c>
      <c r="B1171" t="s">
        <v>1167</v>
      </c>
      <c r="C1171" t="str">
        <f>"11.2"</f>
        <v>11.2</v>
      </c>
      <c r="D1171" t="s">
        <v>1454</v>
      </c>
    </row>
    <row r="1172" spans="1:4" x14ac:dyDescent="0.25">
      <c r="A1172" t="str">
        <f>"10086"</f>
        <v>10086</v>
      </c>
      <c r="B1172" t="s">
        <v>1168</v>
      </c>
      <c r="C1172" t="str">
        <f>"11.3"</f>
        <v>11.3</v>
      </c>
      <c r="D1172" t="s">
        <v>1454</v>
      </c>
    </row>
    <row r="1173" spans="1:4" x14ac:dyDescent="0.25">
      <c r="A1173" t="str">
        <f>"10088"</f>
        <v>10088</v>
      </c>
      <c r="B1173" t="s">
        <v>1169</v>
      </c>
      <c r="C1173" t="str">
        <f>"21.7"</f>
        <v>21.7</v>
      </c>
      <c r="D1173" t="s">
        <v>1454</v>
      </c>
    </row>
    <row r="1174" spans="1:4" x14ac:dyDescent="0.25">
      <c r="A1174" t="str">
        <f>"38433"</f>
        <v>38433</v>
      </c>
      <c r="B1174" t="s">
        <v>1170</v>
      </c>
      <c r="C1174" t="str">
        <f>"16.6"</f>
        <v>16.6</v>
      </c>
      <c r="D1174" t="s">
        <v>1454</v>
      </c>
    </row>
    <row r="1175" spans="1:4" x14ac:dyDescent="0.25">
      <c r="A1175" t="str">
        <f>"10094"</f>
        <v>10094</v>
      </c>
      <c r="B1175" t="s">
        <v>1171</v>
      </c>
      <c r="C1175" t="str">
        <f>"15.4"</f>
        <v>15.4</v>
      </c>
      <c r="D1175" t="s">
        <v>1454</v>
      </c>
    </row>
    <row r="1176" spans="1:4" x14ac:dyDescent="0.25">
      <c r="A1176" t="str">
        <f>"75889"</f>
        <v>75889</v>
      </c>
      <c r="B1176" t="s">
        <v>1172</v>
      </c>
      <c r="C1176" t="str">
        <f>"17.5"</f>
        <v>17.5</v>
      </c>
      <c r="D1176" t="s">
        <v>1454</v>
      </c>
    </row>
    <row r="1177" spans="1:4" x14ac:dyDescent="0.25">
      <c r="A1177" t="str">
        <f>"20796"</f>
        <v>20796</v>
      </c>
      <c r="B1177" t="s">
        <v>1173</v>
      </c>
      <c r="C1177" t="str">
        <f>"20.3"</f>
        <v>20.3</v>
      </c>
      <c r="D1177" t="s">
        <v>1454</v>
      </c>
    </row>
    <row r="1178" spans="1:4" x14ac:dyDescent="0.25">
      <c r="A1178" t="str">
        <f>"13729"</f>
        <v>13729</v>
      </c>
      <c r="B1178" t="s">
        <v>1174</v>
      </c>
      <c r="C1178" t="str">
        <f>"13.8"</f>
        <v>13.8</v>
      </c>
      <c r="D1178" t="s">
        <v>1454</v>
      </c>
    </row>
    <row r="1179" spans="1:4" x14ac:dyDescent="0.25">
      <c r="A1179" t="str">
        <f>"1000013"</f>
        <v>1000013</v>
      </c>
      <c r="B1179" t="s">
        <v>1175</v>
      </c>
      <c r="C1179" t="str">
        <f>"6.1"</f>
        <v>6.1</v>
      </c>
      <c r="D1179" t="s">
        <v>1454</v>
      </c>
    </row>
    <row r="1180" spans="1:4" x14ac:dyDescent="0.25">
      <c r="A1180" t="str">
        <f>"1005912"</f>
        <v>1005912</v>
      </c>
      <c r="B1180" t="s">
        <v>1176</v>
      </c>
      <c r="C1180" t="str">
        <f>"11.9"</f>
        <v>11.9</v>
      </c>
      <c r="D1180" t="s">
        <v>1454</v>
      </c>
    </row>
    <row r="1181" spans="1:4" x14ac:dyDescent="0.25">
      <c r="A1181" t="str">
        <f>"10101"</f>
        <v>10101</v>
      </c>
      <c r="B1181" t="s">
        <v>1177</v>
      </c>
      <c r="C1181" t="str">
        <f>"12.8"</f>
        <v>12.8</v>
      </c>
      <c r="D1181" t="s">
        <v>1454</v>
      </c>
    </row>
    <row r="1182" spans="1:4" x14ac:dyDescent="0.25">
      <c r="A1182" t="str">
        <f>"10102"</f>
        <v>10102</v>
      </c>
      <c r="B1182" t="s">
        <v>1178</v>
      </c>
      <c r="C1182" t="str">
        <f>"11.7"</f>
        <v>11.7</v>
      </c>
      <c r="D1182" t="s">
        <v>1454</v>
      </c>
    </row>
    <row r="1183" spans="1:4" x14ac:dyDescent="0.25">
      <c r="A1183" t="str">
        <f>"10103"</f>
        <v>10103</v>
      </c>
      <c r="B1183" t="s">
        <v>1179</v>
      </c>
      <c r="C1183" t="str">
        <f>"24.3"</f>
        <v>24.3</v>
      </c>
      <c r="D1183" t="s">
        <v>1454</v>
      </c>
    </row>
    <row r="1184" spans="1:4" x14ac:dyDescent="0.25">
      <c r="A1184" t="str">
        <f>"1002463"</f>
        <v>1002463</v>
      </c>
      <c r="B1184" t="s">
        <v>1180</v>
      </c>
      <c r="C1184" t="str">
        <f>"11.4"</f>
        <v>11.4</v>
      </c>
      <c r="D1184" t="s">
        <v>1454</v>
      </c>
    </row>
    <row r="1185" spans="1:4" x14ac:dyDescent="0.25">
      <c r="A1185" t="str">
        <f>"1001545"</f>
        <v>1001545</v>
      </c>
      <c r="B1185" t="s">
        <v>1181</v>
      </c>
      <c r="C1185" t="str">
        <f>"19.8"</f>
        <v>19.8</v>
      </c>
      <c r="D1185" t="s">
        <v>1454</v>
      </c>
    </row>
    <row r="1186" spans="1:4" x14ac:dyDescent="0.25">
      <c r="A1186" t="str">
        <f>"1780"</f>
        <v>1780</v>
      </c>
      <c r="B1186" t="s">
        <v>1182</v>
      </c>
      <c r="C1186" t="str">
        <f>"8.3"</f>
        <v>8.3</v>
      </c>
      <c r="D1186" t="s">
        <v>1454</v>
      </c>
    </row>
    <row r="1187" spans="1:4" x14ac:dyDescent="0.25">
      <c r="A1187" t="str">
        <f>"47819"</f>
        <v>47819</v>
      </c>
      <c r="B1187" t="s">
        <v>1183</v>
      </c>
      <c r="C1187" t="str">
        <f>"17.1"</f>
        <v>17.1</v>
      </c>
      <c r="D1187" t="s">
        <v>1454</v>
      </c>
    </row>
    <row r="1188" spans="1:4" x14ac:dyDescent="0.25">
      <c r="A1188" t="str">
        <f>"1004783"</f>
        <v>1004783</v>
      </c>
      <c r="B1188" t="s">
        <v>1184</v>
      </c>
      <c r="C1188" t="str">
        <f>"15.6"</f>
        <v>15.6</v>
      </c>
      <c r="D1188" t="s">
        <v>1454</v>
      </c>
    </row>
    <row r="1189" spans="1:4" x14ac:dyDescent="0.25">
      <c r="A1189" t="str">
        <f>"1004336"</f>
        <v>1004336</v>
      </c>
      <c r="B1189" t="s">
        <v>1185</v>
      </c>
      <c r="C1189" t="str">
        <f>"13.9"</f>
        <v>13.9</v>
      </c>
      <c r="D1189" t="s">
        <v>1454</v>
      </c>
    </row>
    <row r="1190" spans="1:4" x14ac:dyDescent="0.25">
      <c r="A1190" t="str">
        <f>"21472"</f>
        <v>21472</v>
      </c>
      <c r="B1190" t="s">
        <v>1186</v>
      </c>
      <c r="C1190" t="str">
        <f>"29.1"</f>
        <v>29.1</v>
      </c>
      <c r="D1190" t="s">
        <v>1454</v>
      </c>
    </row>
    <row r="1191" spans="1:4" x14ac:dyDescent="0.25">
      <c r="A1191" t="str">
        <f>"10108"</f>
        <v>10108</v>
      </c>
      <c r="B1191" t="s">
        <v>1187</v>
      </c>
      <c r="C1191" t="str">
        <f>"15.4"</f>
        <v>15.4</v>
      </c>
      <c r="D1191" t="s">
        <v>1454</v>
      </c>
    </row>
    <row r="1192" spans="1:4" x14ac:dyDescent="0.25">
      <c r="A1192" t="str">
        <f>"10304"</f>
        <v>10304</v>
      </c>
      <c r="B1192" t="s">
        <v>1188</v>
      </c>
      <c r="C1192" t="str">
        <f>"19.9000"</f>
        <v>19.9000</v>
      </c>
      <c r="D1192" t="s">
        <v>1454</v>
      </c>
    </row>
    <row r="1193" spans="1:4" x14ac:dyDescent="0.25">
      <c r="A1193" t="str">
        <f>"10111"</f>
        <v>10111</v>
      </c>
      <c r="B1193" t="s">
        <v>1189</v>
      </c>
      <c r="C1193" t="str">
        <f>"17.9"</f>
        <v>17.9</v>
      </c>
      <c r="D1193" t="s">
        <v>1454</v>
      </c>
    </row>
    <row r="1194" spans="1:4" x14ac:dyDescent="0.25">
      <c r="A1194" t="str">
        <f>"75551"</f>
        <v>75551</v>
      </c>
      <c r="B1194" t="s">
        <v>1190</v>
      </c>
      <c r="C1194" t="str">
        <f>"30.9"</f>
        <v>30.9</v>
      </c>
      <c r="D1194" t="s">
        <v>1454</v>
      </c>
    </row>
    <row r="1195" spans="1:4" x14ac:dyDescent="0.25">
      <c r="A1195" t="str">
        <f>"1005636"</f>
        <v>1005636</v>
      </c>
      <c r="B1195" t="s">
        <v>1191</v>
      </c>
      <c r="C1195" t="str">
        <f>"11.8"</f>
        <v>11.8</v>
      </c>
      <c r="D1195" t="s">
        <v>1454</v>
      </c>
    </row>
    <row r="1196" spans="1:4" x14ac:dyDescent="0.25">
      <c r="A1196" t="str">
        <f>"1005635"</f>
        <v>1005635</v>
      </c>
      <c r="B1196" t="s">
        <v>1192</v>
      </c>
      <c r="C1196" t="str">
        <f>"17.3"</f>
        <v>17.3</v>
      </c>
      <c r="D1196" t="s">
        <v>1454</v>
      </c>
    </row>
    <row r="1197" spans="1:4" x14ac:dyDescent="0.25">
      <c r="A1197" t="str">
        <f>"78213"</f>
        <v>78213</v>
      </c>
      <c r="B1197" t="s">
        <v>1193</v>
      </c>
      <c r="C1197" t="str">
        <f>"28.1"</f>
        <v>28.1</v>
      </c>
      <c r="D1197" t="s">
        <v>1454</v>
      </c>
    </row>
    <row r="1198" spans="1:4" x14ac:dyDescent="0.25">
      <c r="A1198" t="str">
        <f>"46139"</f>
        <v>46139</v>
      </c>
      <c r="B1198" t="s">
        <v>1194</v>
      </c>
      <c r="C1198" t="str">
        <f>"5.9"</f>
        <v>5.9</v>
      </c>
      <c r="D1198" t="s">
        <v>1454</v>
      </c>
    </row>
    <row r="1199" spans="1:4" x14ac:dyDescent="0.25">
      <c r="A1199" t="str">
        <f>"71962"</f>
        <v>71962</v>
      </c>
      <c r="B1199" t="s">
        <v>1195</v>
      </c>
      <c r="C1199" t="str">
        <f>"12.3"</f>
        <v>12.3</v>
      </c>
      <c r="D1199" t="s">
        <v>1454</v>
      </c>
    </row>
    <row r="1200" spans="1:4" x14ac:dyDescent="0.25">
      <c r="A1200" t="str">
        <f>"13737"</f>
        <v>13737</v>
      </c>
      <c r="B1200" t="s">
        <v>1196</v>
      </c>
      <c r="C1200" t="str">
        <f>"16.6"</f>
        <v>16.6</v>
      </c>
      <c r="D1200" t="s">
        <v>1454</v>
      </c>
    </row>
    <row r="1201" spans="1:4" x14ac:dyDescent="0.25">
      <c r="A1201" t="str">
        <f>"80732"</f>
        <v>80732</v>
      </c>
      <c r="B1201" t="s">
        <v>1197</v>
      </c>
      <c r="C1201" t="s">
        <v>1</v>
      </c>
      <c r="D1201" t="s">
        <v>1454</v>
      </c>
    </row>
    <row r="1202" spans="1:4" x14ac:dyDescent="0.25">
      <c r="A1202" t="str">
        <f>"48417"</f>
        <v>48417</v>
      </c>
      <c r="B1202" t="s">
        <v>1198</v>
      </c>
      <c r="C1202" t="str">
        <f>"16.8"</f>
        <v>16.8</v>
      </c>
      <c r="D1202" t="s">
        <v>1454</v>
      </c>
    </row>
    <row r="1203" spans="1:4" x14ac:dyDescent="0.25">
      <c r="A1203" t="str">
        <f>"27701"</f>
        <v>27701</v>
      </c>
      <c r="B1203" t="s">
        <v>1199</v>
      </c>
      <c r="C1203" t="str">
        <f>"17.2"</f>
        <v>17.2</v>
      </c>
      <c r="D1203" t="s">
        <v>1454</v>
      </c>
    </row>
    <row r="1204" spans="1:4" x14ac:dyDescent="0.25">
      <c r="A1204" t="str">
        <f>"10700"</f>
        <v>10700</v>
      </c>
      <c r="B1204" t="s">
        <v>1200</v>
      </c>
      <c r="C1204" t="str">
        <f>"14.5"</f>
        <v>14.5</v>
      </c>
      <c r="D1204" t="s">
        <v>1454</v>
      </c>
    </row>
    <row r="1205" spans="1:4" x14ac:dyDescent="0.25">
      <c r="A1205" t="str">
        <f>"10127"</f>
        <v>10127</v>
      </c>
      <c r="B1205" t="s">
        <v>1201</v>
      </c>
      <c r="C1205" t="str">
        <f>"4.2"</f>
        <v>4.2</v>
      </c>
      <c r="D1205" t="s">
        <v>1454</v>
      </c>
    </row>
    <row r="1206" spans="1:4" x14ac:dyDescent="0.25">
      <c r="A1206" t="str">
        <f>"10129"</f>
        <v>10129</v>
      </c>
      <c r="B1206" t="s">
        <v>1202</v>
      </c>
      <c r="C1206" t="str">
        <f>"18.9"</f>
        <v>18.9</v>
      </c>
      <c r="D1206" t="s">
        <v>1454</v>
      </c>
    </row>
    <row r="1207" spans="1:4" x14ac:dyDescent="0.25">
      <c r="A1207" t="str">
        <f>"1008476"</f>
        <v>1008476</v>
      </c>
      <c r="B1207" t="s">
        <v>1203</v>
      </c>
      <c r="C1207" t="str">
        <f>"22.1"</f>
        <v>22.1</v>
      </c>
      <c r="D1207" t="s">
        <v>1454</v>
      </c>
    </row>
    <row r="1208" spans="1:4" x14ac:dyDescent="0.25">
      <c r="A1208" t="str">
        <f>"10138"</f>
        <v>10138</v>
      </c>
      <c r="B1208" t="s">
        <v>1204</v>
      </c>
      <c r="C1208" t="str">
        <f>"18.6"</f>
        <v>18.6</v>
      </c>
      <c r="D1208" t="s">
        <v>1454</v>
      </c>
    </row>
    <row r="1209" spans="1:4" x14ac:dyDescent="0.25">
      <c r="A1209" t="str">
        <f>"10147"</f>
        <v>10147</v>
      </c>
      <c r="B1209" t="s">
        <v>1205</v>
      </c>
      <c r="C1209" t="str">
        <f>"22.1"</f>
        <v>22.1</v>
      </c>
      <c r="D1209" t="s">
        <v>1454</v>
      </c>
    </row>
    <row r="1210" spans="1:4" x14ac:dyDescent="0.25">
      <c r="A1210" t="str">
        <f>"67268"</f>
        <v>67268</v>
      </c>
      <c r="B1210" t="s">
        <v>1206</v>
      </c>
      <c r="C1210" t="str">
        <f>"22.1"</f>
        <v>22.1</v>
      </c>
      <c r="D1210" t="s">
        <v>1454</v>
      </c>
    </row>
    <row r="1211" spans="1:4" x14ac:dyDescent="0.25">
      <c r="A1211" t="str">
        <f>"10153"</f>
        <v>10153</v>
      </c>
      <c r="B1211" t="s">
        <v>1207</v>
      </c>
      <c r="C1211" t="str">
        <f>"6.3"</f>
        <v>6.3</v>
      </c>
      <c r="D1211" t="s">
        <v>1454</v>
      </c>
    </row>
    <row r="1212" spans="1:4" x14ac:dyDescent="0.25">
      <c r="A1212" t="str">
        <f>"1000022"</f>
        <v>1000022</v>
      </c>
      <c r="B1212" t="s">
        <v>1208</v>
      </c>
      <c r="C1212" t="str">
        <f>"23.5"</f>
        <v>23.5</v>
      </c>
      <c r="D1212" t="s">
        <v>1454</v>
      </c>
    </row>
    <row r="1213" spans="1:4" x14ac:dyDescent="0.25">
      <c r="A1213" t="str">
        <f>"1000020"</f>
        <v>1000020</v>
      </c>
      <c r="B1213" t="s">
        <v>1209</v>
      </c>
      <c r="C1213" t="str">
        <f>"19.6"</f>
        <v>19.6</v>
      </c>
      <c r="D1213" t="s">
        <v>1454</v>
      </c>
    </row>
    <row r="1214" spans="1:4" x14ac:dyDescent="0.25">
      <c r="A1214" t="str">
        <f>"10738"</f>
        <v>10738</v>
      </c>
      <c r="B1214" t="s">
        <v>1210</v>
      </c>
      <c r="C1214" t="str">
        <f>"9.0"</f>
        <v>9.0</v>
      </c>
      <c r="D1214" t="s">
        <v>1454</v>
      </c>
    </row>
    <row r="1215" spans="1:4" x14ac:dyDescent="0.25">
      <c r="A1215" t="str">
        <f>"37043"</f>
        <v>37043</v>
      </c>
      <c r="B1215" t="s">
        <v>1211</v>
      </c>
      <c r="C1215" t="str">
        <f>"18.7"</f>
        <v>18.7</v>
      </c>
      <c r="D1215" t="s">
        <v>1454</v>
      </c>
    </row>
    <row r="1216" spans="1:4" x14ac:dyDescent="0.25">
      <c r="A1216" t="str">
        <f>"1000735"</f>
        <v>1000735</v>
      </c>
      <c r="B1216" t="s">
        <v>1212</v>
      </c>
      <c r="C1216" t="str">
        <f>"29.3"</f>
        <v>29.3</v>
      </c>
      <c r="D1216" t="s">
        <v>1454</v>
      </c>
    </row>
    <row r="1217" spans="1:4" x14ac:dyDescent="0.25">
      <c r="A1217" t="str">
        <f>"75070"</f>
        <v>75070</v>
      </c>
      <c r="B1217" t="s">
        <v>1213</v>
      </c>
      <c r="C1217" t="str">
        <f>"13.8"</f>
        <v>13.8</v>
      </c>
      <c r="D1217" t="s">
        <v>1454</v>
      </c>
    </row>
    <row r="1218" spans="1:4" x14ac:dyDescent="0.25">
      <c r="A1218" t="str">
        <f>"72799"</f>
        <v>72799</v>
      </c>
      <c r="B1218" t="s">
        <v>1214</v>
      </c>
      <c r="C1218" t="str">
        <f>"26.2"</f>
        <v>26.2</v>
      </c>
      <c r="D1218" t="s">
        <v>1454</v>
      </c>
    </row>
    <row r="1219" spans="1:4" x14ac:dyDescent="0.25">
      <c r="A1219" t="str">
        <f>"74884"</f>
        <v>74884</v>
      </c>
      <c r="B1219" t="s">
        <v>1215</v>
      </c>
      <c r="C1219" t="str">
        <f>"22.1"</f>
        <v>22.1</v>
      </c>
      <c r="D1219" t="s">
        <v>1454</v>
      </c>
    </row>
    <row r="1220" spans="1:4" x14ac:dyDescent="0.25">
      <c r="A1220" t="str">
        <f>"30616"</f>
        <v>30616</v>
      </c>
      <c r="B1220" t="s">
        <v>1216</v>
      </c>
      <c r="C1220" t="str">
        <f>"14.7"</f>
        <v>14.7</v>
      </c>
      <c r="D1220" t="s">
        <v>1454</v>
      </c>
    </row>
    <row r="1221" spans="1:4" x14ac:dyDescent="0.25">
      <c r="A1221" t="str">
        <f>"35579"</f>
        <v>35579</v>
      </c>
      <c r="B1221" t="s">
        <v>1217</v>
      </c>
      <c r="C1221" t="str">
        <f>"9.3000"</f>
        <v>9.3000</v>
      </c>
      <c r="D1221" t="s">
        <v>1454</v>
      </c>
    </row>
    <row r="1222" spans="1:4" x14ac:dyDescent="0.25">
      <c r="A1222" t="str">
        <f>"40629"</f>
        <v>40629</v>
      </c>
      <c r="B1222" t="s">
        <v>1218</v>
      </c>
      <c r="C1222" t="str">
        <f>"9.6"</f>
        <v>9.6</v>
      </c>
      <c r="D1222" t="s">
        <v>1454</v>
      </c>
    </row>
    <row r="1223" spans="1:4" x14ac:dyDescent="0.25">
      <c r="A1223" t="str">
        <f>"21493"</f>
        <v>21493</v>
      </c>
      <c r="B1223" t="s">
        <v>1219</v>
      </c>
      <c r="C1223" t="str">
        <f>"25.8"</f>
        <v>25.8</v>
      </c>
      <c r="D1223" t="s">
        <v>1454</v>
      </c>
    </row>
    <row r="1224" spans="1:4" x14ac:dyDescent="0.25">
      <c r="A1224" t="str">
        <f>"10161"</f>
        <v>10161</v>
      </c>
      <c r="B1224" t="s">
        <v>1220</v>
      </c>
      <c r="C1224" t="str">
        <f>"21.1000"</f>
        <v>21.1000</v>
      </c>
      <c r="D1224" t="s">
        <v>1454</v>
      </c>
    </row>
    <row r="1225" spans="1:4" x14ac:dyDescent="0.25">
      <c r="A1225" t="str">
        <f>"73038"</f>
        <v>73038</v>
      </c>
      <c r="B1225" t="s">
        <v>1221</v>
      </c>
      <c r="C1225" t="str">
        <f>"18.2"</f>
        <v>18.2</v>
      </c>
      <c r="D1225" t="s">
        <v>1454</v>
      </c>
    </row>
    <row r="1226" spans="1:4" x14ac:dyDescent="0.25">
      <c r="A1226" t="str">
        <f>"1000762"</f>
        <v>1000762</v>
      </c>
      <c r="B1226" t="s">
        <v>1222</v>
      </c>
      <c r="C1226" t="str">
        <f>"24.7"</f>
        <v>24.7</v>
      </c>
      <c r="D1226" t="s">
        <v>1454</v>
      </c>
    </row>
    <row r="1227" spans="1:4" x14ac:dyDescent="0.25">
      <c r="A1227" t="str">
        <f>"81332"</f>
        <v>81332</v>
      </c>
      <c r="B1227" t="s">
        <v>1223</v>
      </c>
      <c r="C1227" t="str">
        <f>"20.0"</f>
        <v>20.0</v>
      </c>
      <c r="D1227" t="s">
        <v>1454</v>
      </c>
    </row>
    <row r="1228" spans="1:4" x14ac:dyDescent="0.25">
      <c r="A1228" t="str">
        <f>"10164"</f>
        <v>10164</v>
      </c>
      <c r="B1228" t="s">
        <v>1224</v>
      </c>
      <c r="C1228" t="str">
        <f>"18.5"</f>
        <v>18.5</v>
      </c>
      <c r="D1228" t="s">
        <v>1454</v>
      </c>
    </row>
    <row r="1229" spans="1:4" x14ac:dyDescent="0.25">
      <c r="A1229" t="str">
        <f>"81333"</f>
        <v>81333</v>
      </c>
      <c r="B1229" t="s">
        <v>1225</v>
      </c>
      <c r="C1229" t="str">
        <f>"20.1"</f>
        <v>20.1</v>
      </c>
      <c r="D1229" t="s">
        <v>1454</v>
      </c>
    </row>
    <row r="1230" spans="1:4" x14ac:dyDescent="0.25">
      <c r="A1230" t="str">
        <f>"10171"</f>
        <v>10171</v>
      </c>
      <c r="B1230" t="s">
        <v>1226</v>
      </c>
      <c r="C1230" t="str">
        <f>"15.6"</f>
        <v>15.6</v>
      </c>
      <c r="D1230" t="s">
        <v>1454</v>
      </c>
    </row>
    <row r="1231" spans="1:4" x14ac:dyDescent="0.25">
      <c r="A1231" t="str">
        <f>"3755"</f>
        <v>3755</v>
      </c>
      <c r="B1231" t="s">
        <v>1227</v>
      </c>
      <c r="C1231" t="str">
        <f>"30.0"</f>
        <v>30.0</v>
      </c>
      <c r="D1231" t="s">
        <v>1454</v>
      </c>
    </row>
    <row r="1232" spans="1:4" x14ac:dyDescent="0.25">
      <c r="A1232" t="str">
        <f>"10175"</f>
        <v>10175</v>
      </c>
      <c r="B1232" t="s">
        <v>1228</v>
      </c>
      <c r="C1232" t="str">
        <f>"35.1"</f>
        <v>35.1</v>
      </c>
      <c r="D1232" t="s">
        <v>1454</v>
      </c>
    </row>
    <row r="1233" spans="1:4" x14ac:dyDescent="0.25">
      <c r="A1233" t="str">
        <f>"41840"</f>
        <v>41840</v>
      </c>
      <c r="B1233" t="s">
        <v>1229</v>
      </c>
      <c r="C1233" t="str">
        <f>"16.6"</f>
        <v>16.6</v>
      </c>
      <c r="D1233" t="s">
        <v>1454</v>
      </c>
    </row>
    <row r="1234" spans="1:4" x14ac:dyDescent="0.25">
      <c r="A1234" t="str">
        <f>"16709"</f>
        <v>16709</v>
      </c>
      <c r="B1234" t="s">
        <v>1230</v>
      </c>
      <c r="C1234" t="str">
        <f>"19.6"</f>
        <v>19.6</v>
      </c>
      <c r="D1234" t="s">
        <v>1454</v>
      </c>
    </row>
    <row r="1235" spans="1:4" x14ac:dyDescent="0.25">
      <c r="A1235" t="str">
        <f>"80186"</f>
        <v>80186</v>
      </c>
      <c r="B1235" t="s">
        <v>1231</v>
      </c>
      <c r="C1235" t="str">
        <f>"29.0"</f>
        <v>29.0</v>
      </c>
      <c r="D1235" t="s">
        <v>1454</v>
      </c>
    </row>
    <row r="1236" spans="1:4" x14ac:dyDescent="0.25">
      <c r="A1236" t="str">
        <f>"10177"</f>
        <v>10177</v>
      </c>
      <c r="B1236" t="s">
        <v>1232</v>
      </c>
      <c r="C1236" t="str">
        <f>"18.3"</f>
        <v>18.3</v>
      </c>
      <c r="D1236" t="s">
        <v>1454</v>
      </c>
    </row>
    <row r="1237" spans="1:4" x14ac:dyDescent="0.25">
      <c r="A1237" t="str">
        <f>"1000758"</f>
        <v>1000758</v>
      </c>
      <c r="B1237" t="s">
        <v>1233</v>
      </c>
      <c r="C1237" t="str">
        <f>"26.1"</f>
        <v>26.1</v>
      </c>
      <c r="D1237" t="s">
        <v>1454</v>
      </c>
    </row>
    <row r="1238" spans="1:4" x14ac:dyDescent="0.25">
      <c r="A1238" t="str">
        <f>"14874"</f>
        <v>14874</v>
      </c>
      <c r="B1238" t="s">
        <v>1234</v>
      </c>
      <c r="C1238" t="str">
        <f>"33.8"</f>
        <v>33.8</v>
      </c>
      <c r="D1238" t="s">
        <v>1454</v>
      </c>
    </row>
    <row r="1239" spans="1:4" x14ac:dyDescent="0.25">
      <c r="A1239" t="str">
        <f>"34211"</f>
        <v>34211</v>
      </c>
      <c r="B1239" t="s">
        <v>1235</v>
      </c>
      <c r="C1239" t="str">
        <f>"23.1"</f>
        <v>23.1</v>
      </c>
      <c r="D1239" t="s">
        <v>1454</v>
      </c>
    </row>
    <row r="1240" spans="1:4" x14ac:dyDescent="0.25">
      <c r="A1240" t="str">
        <f>"16675"</f>
        <v>16675</v>
      </c>
      <c r="B1240" t="s">
        <v>1236</v>
      </c>
      <c r="C1240" t="str">
        <f>"19.8"</f>
        <v>19.8</v>
      </c>
      <c r="D1240" t="s">
        <v>1454</v>
      </c>
    </row>
    <row r="1241" spans="1:4" x14ac:dyDescent="0.25">
      <c r="A1241" t="str">
        <f>"71700"</f>
        <v>71700</v>
      </c>
      <c r="B1241" t="s">
        <v>1237</v>
      </c>
      <c r="C1241" t="str">
        <f>"12.7"</f>
        <v>12.7</v>
      </c>
      <c r="D1241" t="s">
        <v>1454</v>
      </c>
    </row>
    <row r="1242" spans="1:4" x14ac:dyDescent="0.25">
      <c r="A1242" t="str">
        <f>"1000219"</f>
        <v>1000219</v>
      </c>
      <c r="B1242" t="s">
        <v>1239</v>
      </c>
      <c r="C1242" t="s">
        <v>1</v>
      </c>
      <c r="D1242" t="s">
        <v>1453</v>
      </c>
    </row>
    <row r="1243" spans="1:4" x14ac:dyDescent="0.25">
      <c r="A1243" t="str">
        <f>"8625"</f>
        <v>8625</v>
      </c>
      <c r="B1243" t="s">
        <v>1240</v>
      </c>
      <c r="C1243" t="str">
        <f>"26.1"</f>
        <v>26.1</v>
      </c>
      <c r="D1243" t="s">
        <v>1453</v>
      </c>
    </row>
    <row r="1244" spans="1:4" x14ac:dyDescent="0.25">
      <c r="A1244" t="str">
        <f>"70536"</f>
        <v>70536</v>
      </c>
      <c r="B1244" t="s">
        <v>1241</v>
      </c>
      <c r="C1244" t="str">
        <f>"15.4"</f>
        <v>15.4</v>
      </c>
      <c r="D1244" t="s">
        <v>1453</v>
      </c>
    </row>
    <row r="1245" spans="1:4" x14ac:dyDescent="0.25">
      <c r="A1245" t="str">
        <f>"26877"</f>
        <v>26877</v>
      </c>
      <c r="B1245" t="s">
        <v>1242</v>
      </c>
      <c r="C1245" t="str">
        <f>"17.2"</f>
        <v>17.2</v>
      </c>
      <c r="D1245" t="s">
        <v>1453</v>
      </c>
    </row>
    <row r="1246" spans="1:4" x14ac:dyDescent="0.25">
      <c r="A1246" t="str">
        <f>"8656"</f>
        <v>8656</v>
      </c>
      <c r="B1246" t="s">
        <v>1243</v>
      </c>
      <c r="C1246" t="str">
        <f>"16.6"</f>
        <v>16.6</v>
      </c>
      <c r="D1246" t="s">
        <v>1453</v>
      </c>
    </row>
    <row r="1247" spans="1:4" x14ac:dyDescent="0.25">
      <c r="A1247" t="str">
        <f>"50937"</f>
        <v>50937</v>
      </c>
      <c r="B1247" t="s">
        <v>1244</v>
      </c>
      <c r="C1247" t="str">
        <f>"30.1"</f>
        <v>30.1</v>
      </c>
      <c r="D1247" t="s">
        <v>1453</v>
      </c>
    </row>
    <row r="1248" spans="1:4" x14ac:dyDescent="0.25">
      <c r="A1248" t="str">
        <f>"23041"</f>
        <v>23041</v>
      </c>
      <c r="B1248" t="s">
        <v>1245</v>
      </c>
      <c r="C1248" t="str">
        <f>"22.4"</f>
        <v>22.4</v>
      </c>
      <c r="D1248" t="s">
        <v>1453</v>
      </c>
    </row>
    <row r="1249" spans="1:4" x14ac:dyDescent="0.25">
      <c r="A1249" t="str">
        <f>"49360"</f>
        <v>49360</v>
      </c>
      <c r="B1249" t="s">
        <v>1246</v>
      </c>
      <c r="C1249" t="str">
        <f>"16.9"</f>
        <v>16.9</v>
      </c>
      <c r="D1249" t="s">
        <v>1453</v>
      </c>
    </row>
    <row r="1250" spans="1:4" x14ac:dyDescent="0.25">
      <c r="A1250" t="str">
        <f>"17677"</f>
        <v>17677</v>
      </c>
      <c r="B1250" t="s">
        <v>1247</v>
      </c>
      <c r="C1250" t="str">
        <f>"28.3"</f>
        <v>28.3</v>
      </c>
      <c r="D1250" t="s">
        <v>1453</v>
      </c>
    </row>
    <row r="1251" spans="1:4" x14ac:dyDescent="0.25">
      <c r="A1251" t="str">
        <f>"1000906"</f>
        <v>1000906</v>
      </c>
      <c r="B1251" t="s">
        <v>1248</v>
      </c>
      <c r="C1251" t="str">
        <f>"13.2"</f>
        <v>13.2</v>
      </c>
      <c r="D1251" t="s">
        <v>1453</v>
      </c>
    </row>
    <row r="1252" spans="1:4" x14ac:dyDescent="0.25">
      <c r="A1252" t="str">
        <f>"1006725"</f>
        <v>1006725</v>
      </c>
      <c r="B1252" t="s">
        <v>1249</v>
      </c>
      <c r="C1252" t="str">
        <f>"31.3"</f>
        <v>31.3</v>
      </c>
      <c r="D1252" t="s">
        <v>1453</v>
      </c>
    </row>
    <row r="1253" spans="1:4" x14ac:dyDescent="0.25">
      <c r="A1253" t="str">
        <f>"1008062"</f>
        <v>1008062</v>
      </c>
      <c r="B1253" t="s">
        <v>1250</v>
      </c>
      <c r="C1253" t="str">
        <f>"22.6"</f>
        <v>22.6</v>
      </c>
      <c r="D1253" t="s">
        <v>1453</v>
      </c>
    </row>
    <row r="1254" spans="1:4" x14ac:dyDescent="0.25">
      <c r="A1254" t="str">
        <f>"64145"</f>
        <v>64145</v>
      </c>
      <c r="B1254" t="s">
        <v>1251</v>
      </c>
      <c r="C1254" t="str">
        <f>"27.0"</f>
        <v>27.0</v>
      </c>
      <c r="D1254" t="s">
        <v>1453</v>
      </c>
    </row>
    <row r="1255" spans="1:4" x14ac:dyDescent="0.25">
      <c r="A1255" t="str">
        <f>"1000023"</f>
        <v>1000023</v>
      </c>
      <c r="B1255" t="s">
        <v>1252</v>
      </c>
      <c r="C1255" t="str">
        <f>"31.6"</f>
        <v>31.6</v>
      </c>
      <c r="D1255" t="s">
        <v>1453</v>
      </c>
    </row>
    <row r="1256" spans="1:4" x14ac:dyDescent="0.25">
      <c r="A1256" t="str">
        <f>"1006664"</f>
        <v>1006664</v>
      </c>
      <c r="B1256" t="s">
        <v>1253</v>
      </c>
      <c r="C1256" t="str">
        <f>"12.8"</f>
        <v>12.8</v>
      </c>
      <c r="D1256" t="s">
        <v>1453</v>
      </c>
    </row>
    <row r="1257" spans="1:4" x14ac:dyDescent="0.25">
      <c r="A1257" t="str">
        <f>"1008063"</f>
        <v>1008063</v>
      </c>
      <c r="B1257" t="s">
        <v>1254</v>
      </c>
      <c r="C1257" t="s">
        <v>1</v>
      </c>
      <c r="D1257" t="s">
        <v>1453</v>
      </c>
    </row>
    <row r="1258" spans="1:4" x14ac:dyDescent="0.25">
      <c r="A1258" t="str">
        <f>"16691"</f>
        <v>16691</v>
      </c>
      <c r="B1258" t="s">
        <v>1255</v>
      </c>
      <c r="C1258" t="str">
        <f>"26.3"</f>
        <v>26.3</v>
      </c>
      <c r="D1258" t="s">
        <v>1453</v>
      </c>
    </row>
    <row r="1259" spans="1:4" x14ac:dyDescent="0.25">
      <c r="A1259" t="str">
        <f>"16687"</f>
        <v>16687</v>
      </c>
      <c r="B1259" t="s">
        <v>1256</v>
      </c>
      <c r="C1259" t="s">
        <v>1</v>
      </c>
      <c r="D1259" t="s">
        <v>1453</v>
      </c>
    </row>
    <row r="1260" spans="1:4" x14ac:dyDescent="0.25">
      <c r="A1260" t="str">
        <f>"1003216"</f>
        <v>1003216</v>
      </c>
      <c r="B1260" t="s">
        <v>1257</v>
      </c>
      <c r="C1260" t="str">
        <f>"30.8000"</f>
        <v>30.8000</v>
      </c>
      <c r="D1260" t="s">
        <v>1453</v>
      </c>
    </row>
    <row r="1261" spans="1:4" x14ac:dyDescent="0.25">
      <c r="A1261" t="str">
        <f>"50305"</f>
        <v>50305</v>
      </c>
      <c r="B1261" t="s">
        <v>1258</v>
      </c>
      <c r="C1261" t="str">
        <f>"24.7"</f>
        <v>24.7</v>
      </c>
      <c r="D1261" t="s">
        <v>1453</v>
      </c>
    </row>
    <row r="1262" spans="1:4" x14ac:dyDescent="0.25">
      <c r="A1262" t="str">
        <f>"77565"</f>
        <v>77565</v>
      </c>
      <c r="B1262" t="s">
        <v>1259</v>
      </c>
      <c r="C1262" t="str">
        <f>"22.2"</f>
        <v>22.2</v>
      </c>
      <c r="D1262" t="s">
        <v>1453</v>
      </c>
    </row>
    <row r="1263" spans="1:4" x14ac:dyDescent="0.25">
      <c r="A1263" t="str">
        <f>"19658"</f>
        <v>19658</v>
      </c>
      <c r="B1263" t="s">
        <v>1260</v>
      </c>
      <c r="C1263" t="str">
        <f>"31.3"</f>
        <v>31.3</v>
      </c>
      <c r="D1263" t="s">
        <v>1453</v>
      </c>
    </row>
    <row r="1264" spans="1:4" x14ac:dyDescent="0.25">
      <c r="A1264" t="str">
        <f>"10335"</f>
        <v>10335</v>
      </c>
      <c r="B1264" t="s">
        <v>1261</v>
      </c>
      <c r="C1264" t="str">
        <f>"34.1"</f>
        <v>34.1</v>
      </c>
      <c r="D1264" t="s">
        <v>1453</v>
      </c>
    </row>
    <row r="1265" spans="1:4" x14ac:dyDescent="0.25">
      <c r="A1265" t="str">
        <f>"79365"</f>
        <v>79365</v>
      </c>
      <c r="B1265" t="s">
        <v>1262</v>
      </c>
      <c r="C1265" t="str">
        <f>"29.4"</f>
        <v>29.4</v>
      </c>
      <c r="D1265" t="s">
        <v>1453</v>
      </c>
    </row>
    <row r="1266" spans="1:4" x14ac:dyDescent="0.25">
      <c r="A1266" t="str">
        <f>"77164"</f>
        <v>77164</v>
      </c>
      <c r="B1266" t="s">
        <v>1263</v>
      </c>
      <c r="C1266" t="str">
        <f>"28.1"</f>
        <v>28.1</v>
      </c>
      <c r="D1266" t="s">
        <v>1453</v>
      </c>
    </row>
    <row r="1267" spans="1:4" x14ac:dyDescent="0.25">
      <c r="A1267" t="str">
        <f>"80769"</f>
        <v>80769</v>
      </c>
      <c r="B1267" t="s">
        <v>1264</v>
      </c>
      <c r="C1267" t="str">
        <f>"24.4"</f>
        <v>24.4</v>
      </c>
      <c r="D1267" t="s">
        <v>1453</v>
      </c>
    </row>
    <row r="1268" spans="1:4" x14ac:dyDescent="0.25">
      <c r="A1268" t="str">
        <f>"76564"</f>
        <v>76564</v>
      </c>
      <c r="B1268" t="s">
        <v>1265</v>
      </c>
      <c r="C1268" t="str">
        <f>"24.8"</f>
        <v>24.8</v>
      </c>
      <c r="D1268" t="s">
        <v>1453</v>
      </c>
    </row>
    <row r="1269" spans="1:4" x14ac:dyDescent="0.25">
      <c r="A1269" t="str">
        <f>"78021"</f>
        <v>78021</v>
      </c>
      <c r="B1269" t="s">
        <v>1266</v>
      </c>
      <c r="C1269" t="str">
        <f>"34.0"</f>
        <v>34.0</v>
      </c>
      <c r="D1269" t="s">
        <v>1453</v>
      </c>
    </row>
    <row r="1270" spans="1:4" x14ac:dyDescent="0.25">
      <c r="A1270" t="str">
        <f>"8815"</f>
        <v>8815</v>
      </c>
      <c r="B1270" t="s">
        <v>1267</v>
      </c>
      <c r="C1270" t="str">
        <f>"16.1"</f>
        <v>16.1</v>
      </c>
      <c r="D1270" t="s">
        <v>1453</v>
      </c>
    </row>
    <row r="1271" spans="1:4" x14ac:dyDescent="0.25">
      <c r="A1271" t="str">
        <f>"8826"</f>
        <v>8826</v>
      </c>
      <c r="B1271" t="s">
        <v>1268</v>
      </c>
      <c r="C1271" t="str">
        <f>"22.4"</f>
        <v>22.4</v>
      </c>
      <c r="D1271" t="s">
        <v>1453</v>
      </c>
    </row>
    <row r="1272" spans="1:4" x14ac:dyDescent="0.25">
      <c r="A1272" t="str">
        <f>"19671"</f>
        <v>19671</v>
      </c>
      <c r="B1272" t="s">
        <v>1269</v>
      </c>
      <c r="C1272" t="str">
        <f>"25.7"</f>
        <v>25.7</v>
      </c>
      <c r="D1272" t="s">
        <v>1453</v>
      </c>
    </row>
    <row r="1273" spans="1:4" x14ac:dyDescent="0.25">
      <c r="A1273" t="str">
        <f>"1005649"</f>
        <v>1005649</v>
      </c>
      <c r="B1273" t="s">
        <v>1270</v>
      </c>
      <c r="C1273" t="str">
        <f>"28.1"</f>
        <v>28.1</v>
      </c>
      <c r="D1273" t="s">
        <v>1453</v>
      </c>
    </row>
    <row r="1274" spans="1:4" x14ac:dyDescent="0.25">
      <c r="A1274" t="str">
        <f>"10720"</f>
        <v>10720</v>
      </c>
      <c r="B1274" t="s">
        <v>1271</v>
      </c>
      <c r="C1274" t="str">
        <f>"26.5"</f>
        <v>26.5</v>
      </c>
      <c r="D1274" t="s">
        <v>1453</v>
      </c>
    </row>
    <row r="1275" spans="1:4" x14ac:dyDescent="0.25">
      <c r="A1275" t="str">
        <f>"78119"</f>
        <v>78119</v>
      </c>
      <c r="B1275" t="s">
        <v>1272</v>
      </c>
      <c r="C1275" t="str">
        <f>"3.9"</f>
        <v>3.9</v>
      </c>
      <c r="D1275" t="s">
        <v>1453</v>
      </c>
    </row>
    <row r="1276" spans="1:4" x14ac:dyDescent="0.25">
      <c r="A1276" t="str">
        <f>"76514"</f>
        <v>76514</v>
      </c>
      <c r="B1276" t="s">
        <v>1273</v>
      </c>
      <c r="C1276" t="str">
        <f>"22.4"</f>
        <v>22.4</v>
      </c>
      <c r="D1276" t="s">
        <v>1453</v>
      </c>
    </row>
    <row r="1277" spans="1:4" x14ac:dyDescent="0.25">
      <c r="A1277" t="str">
        <f>"74114"</f>
        <v>74114</v>
      </c>
      <c r="B1277" t="s">
        <v>1274</v>
      </c>
      <c r="C1277" t="str">
        <f>"13.0"</f>
        <v>13.0</v>
      </c>
      <c r="D1277" t="s">
        <v>1453</v>
      </c>
    </row>
    <row r="1278" spans="1:4" x14ac:dyDescent="0.25">
      <c r="A1278" t="str">
        <f>"1011821"</f>
        <v>1011821</v>
      </c>
      <c r="B1278" t="s">
        <v>1275</v>
      </c>
      <c r="C1278" t="s">
        <v>1</v>
      </c>
      <c r="D1278" t="s">
        <v>1453</v>
      </c>
    </row>
    <row r="1279" spans="1:4" x14ac:dyDescent="0.25">
      <c r="A1279" t="str">
        <f>"64423"</f>
        <v>64423</v>
      </c>
      <c r="B1279" t="s">
        <v>1276</v>
      </c>
      <c r="C1279" t="str">
        <f>"26.3"</f>
        <v>26.3</v>
      </c>
      <c r="D1279" t="s">
        <v>1453</v>
      </c>
    </row>
    <row r="1280" spans="1:4" x14ac:dyDescent="0.25">
      <c r="A1280" t="str">
        <f>"1002349"</f>
        <v>1002349</v>
      </c>
      <c r="B1280" t="s">
        <v>1277</v>
      </c>
      <c r="C1280" t="str">
        <f>"26.8"</f>
        <v>26.8</v>
      </c>
      <c r="D1280" t="s">
        <v>1453</v>
      </c>
    </row>
    <row r="1281" spans="1:4" x14ac:dyDescent="0.25">
      <c r="A1281" t="str">
        <f>"51094"</f>
        <v>51094</v>
      </c>
      <c r="B1281" t="s">
        <v>1278</v>
      </c>
      <c r="C1281" t="str">
        <f>"16.6"</f>
        <v>16.6</v>
      </c>
      <c r="D1281" t="s">
        <v>1453</v>
      </c>
    </row>
    <row r="1282" spans="1:4" x14ac:dyDescent="0.25">
      <c r="A1282" t="str">
        <f>"1005915"</f>
        <v>1005915</v>
      </c>
      <c r="B1282" t="s">
        <v>1279</v>
      </c>
      <c r="C1282" t="s">
        <v>1</v>
      </c>
      <c r="D1282" t="s">
        <v>1453</v>
      </c>
    </row>
    <row r="1283" spans="1:4" x14ac:dyDescent="0.25">
      <c r="A1283" t="str">
        <f>"22411"</f>
        <v>22411</v>
      </c>
      <c r="B1283" t="s">
        <v>1280</v>
      </c>
      <c r="C1283" t="str">
        <f>"13.7"</f>
        <v>13.7</v>
      </c>
      <c r="D1283" t="s">
        <v>1453</v>
      </c>
    </row>
    <row r="1284" spans="1:4" x14ac:dyDescent="0.25">
      <c r="A1284" t="str">
        <f>"74981"</f>
        <v>74981</v>
      </c>
      <c r="B1284" t="s">
        <v>1281</v>
      </c>
      <c r="C1284" t="str">
        <f>"31.9"</f>
        <v>31.9</v>
      </c>
      <c r="D1284" t="s">
        <v>1453</v>
      </c>
    </row>
    <row r="1285" spans="1:4" x14ac:dyDescent="0.25">
      <c r="A1285" t="str">
        <f>"66856"</f>
        <v>66856</v>
      </c>
      <c r="B1285" t="s">
        <v>1282</v>
      </c>
      <c r="C1285" t="str">
        <f>"18.3"</f>
        <v>18.3</v>
      </c>
      <c r="D1285" t="s">
        <v>1453</v>
      </c>
    </row>
    <row r="1286" spans="1:4" x14ac:dyDescent="0.25">
      <c r="A1286" t="str">
        <f>"19670"</f>
        <v>19670</v>
      </c>
      <c r="B1286" t="s">
        <v>1283</v>
      </c>
      <c r="C1286" t="str">
        <f>"28.4"</f>
        <v>28.4</v>
      </c>
      <c r="D1286" t="s">
        <v>1453</v>
      </c>
    </row>
    <row r="1287" spans="1:4" x14ac:dyDescent="0.25">
      <c r="A1287" t="str">
        <f>"1006654"</f>
        <v>1006654</v>
      </c>
      <c r="B1287" t="s">
        <v>1284</v>
      </c>
      <c r="C1287" t="str">
        <f>"27.7"</f>
        <v>27.7</v>
      </c>
      <c r="D1287" t="s">
        <v>1453</v>
      </c>
    </row>
    <row r="1288" spans="1:4" x14ac:dyDescent="0.25">
      <c r="A1288" t="str">
        <f>"47430"</f>
        <v>47430</v>
      </c>
      <c r="B1288" t="s">
        <v>1285</v>
      </c>
      <c r="C1288" t="str">
        <f>"22.2"</f>
        <v>22.2</v>
      </c>
      <c r="D1288" t="s">
        <v>1453</v>
      </c>
    </row>
    <row r="1289" spans="1:4" x14ac:dyDescent="0.25">
      <c r="A1289" t="str">
        <f>"73752"</f>
        <v>73752</v>
      </c>
      <c r="B1289" t="s">
        <v>1286</v>
      </c>
      <c r="C1289" t="str">
        <f>"22.1"</f>
        <v>22.1</v>
      </c>
      <c r="D1289" t="s">
        <v>1453</v>
      </c>
    </row>
    <row r="1290" spans="1:4" x14ac:dyDescent="0.25">
      <c r="A1290" t="str">
        <f>"77755"</f>
        <v>77755</v>
      </c>
      <c r="B1290" t="s">
        <v>1287</v>
      </c>
      <c r="C1290" t="str">
        <f>"21.2"</f>
        <v>21.2</v>
      </c>
      <c r="D1290" t="s">
        <v>1453</v>
      </c>
    </row>
    <row r="1291" spans="1:4" x14ac:dyDescent="0.25">
      <c r="A1291" t="str">
        <f>"76466"</f>
        <v>76466</v>
      </c>
      <c r="B1291" t="s">
        <v>1288</v>
      </c>
      <c r="C1291" t="str">
        <f>"28.6"</f>
        <v>28.6</v>
      </c>
      <c r="D1291" t="s">
        <v>1453</v>
      </c>
    </row>
    <row r="1292" spans="1:4" x14ac:dyDescent="0.25">
      <c r="A1292" t="str">
        <f>"1010782"</f>
        <v>1010782</v>
      </c>
      <c r="B1292" t="s">
        <v>1289</v>
      </c>
      <c r="C1292" t="s">
        <v>1</v>
      </c>
      <c r="D1292" t="s">
        <v>1453</v>
      </c>
    </row>
    <row r="1293" spans="1:4" x14ac:dyDescent="0.25">
      <c r="A1293" t="str">
        <f>"76136"</f>
        <v>76136</v>
      </c>
      <c r="B1293" t="s">
        <v>1290</v>
      </c>
      <c r="C1293" t="str">
        <f>"30.3"</f>
        <v>30.3</v>
      </c>
      <c r="D1293" t="s">
        <v>1453</v>
      </c>
    </row>
    <row r="1294" spans="1:4" x14ac:dyDescent="0.25">
      <c r="A1294" t="str">
        <f>"17678"</f>
        <v>17678</v>
      </c>
      <c r="B1294" t="s">
        <v>1291</v>
      </c>
      <c r="C1294" t="str">
        <f>"20.5"</f>
        <v>20.5</v>
      </c>
      <c r="D1294" t="s">
        <v>1453</v>
      </c>
    </row>
    <row r="1295" spans="1:4" x14ac:dyDescent="0.25">
      <c r="A1295" t="str">
        <f>"79366"</f>
        <v>79366</v>
      </c>
      <c r="B1295" t="s">
        <v>1292</v>
      </c>
      <c r="C1295" t="str">
        <f>"16.9"</f>
        <v>16.9</v>
      </c>
      <c r="D1295" t="s">
        <v>1453</v>
      </c>
    </row>
    <row r="1296" spans="1:4" x14ac:dyDescent="0.25">
      <c r="A1296" t="str">
        <f>"72425"</f>
        <v>72425</v>
      </c>
      <c r="B1296" t="s">
        <v>1293</v>
      </c>
      <c r="C1296" t="str">
        <f>"24.7"</f>
        <v>24.7</v>
      </c>
      <c r="D1296" t="s">
        <v>1453</v>
      </c>
    </row>
    <row r="1297" spans="1:4" x14ac:dyDescent="0.25">
      <c r="A1297" t="str">
        <f>"1008938"</f>
        <v>1008938</v>
      </c>
      <c r="B1297" t="s">
        <v>1294</v>
      </c>
      <c r="C1297" t="str">
        <f>"32.9"</f>
        <v>32.9</v>
      </c>
      <c r="D1297" t="s">
        <v>1453</v>
      </c>
    </row>
    <row r="1298" spans="1:4" x14ac:dyDescent="0.25">
      <c r="A1298" t="str">
        <f>"1002353"</f>
        <v>1002353</v>
      </c>
      <c r="B1298" t="s">
        <v>1295</v>
      </c>
      <c r="C1298" t="str">
        <f>"18.0"</f>
        <v>18.0</v>
      </c>
      <c r="D1298" t="s">
        <v>1453</v>
      </c>
    </row>
    <row r="1299" spans="1:4" x14ac:dyDescent="0.25">
      <c r="A1299" t="str">
        <f>"76135"</f>
        <v>76135</v>
      </c>
      <c r="B1299" t="s">
        <v>1296</v>
      </c>
      <c r="C1299" t="str">
        <f>"21.5"</f>
        <v>21.5</v>
      </c>
      <c r="D1299" t="s">
        <v>1453</v>
      </c>
    </row>
    <row r="1300" spans="1:4" x14ac:dyDescent="0.25">
      <c r="A1300" t="str">
        <f>"8983"</f>
        <v>8983</v>
      </c>
      <c r="B1300" t="s">
        <v>1297</v>
      </c>
      <c r="C1300" t="str">
        <f>"15.3"</f>
        <v>15.3</v>
      </c>
      <c r="D1300" t="s">
        <v>1453</v>
      </c>
    </row>
    <row r="1301" spans="1:4" x14ac:dyDescent="0.25">
      <c r="A1301" t="str">
        <f>"42009"</f>
        <v>42009</v>
      </c>
      <c r="B1301" t="s">
        <v>1298</v>
      </c>
      <c r="C1301" t="str">
        <f>"7.8"</f>
        <v>7.8</v>
      </c>
      <c r="D1301" t="s">
        <v>1453</v>
      </c>
    </row>
    <row r="1302" spans="1:4" x14ac:dyDescent="0.25">
      <c r="A1302" t="str">
        <f>"9929"</f>
        <v>9929</v>
      </c>
      <c r="B1302" t="s">
        <v>1299</v>
      </c>
      <c r="C1302" t="str">
        <f>"20.7"</f>
        <v>20.7</v>
      </c>
      <c r="D1302" t="s">
        <v>1453</v>
      </c>
    </row>
    <row r="1303" spans="1:4" x14ac:dyDescent="0.25">
      <c r="A1303" t="str">
        <f>"76134"</f>
        <v>76134</v>
      </c>
      <c r="B1303" t="s">
        <v>1300</v>
      </c>
      <c r="C1303" t="str">
        <f>"17.5"</f>
        <v>17.5</v>
      </c>
      <c r="D1303" t="s">
        <v>1453</v>
      </c>
    </row>
    <row r="1304" spans="1:4" x14ac:dyDescent="0.25">
      <c r="A1304" t="str">
        <f>"71963"</f>
        <v>71963</v>
      </c>
      <c r="B1304" t="s">
        <v>1301</v>
      </c>
      <c r="C1304" t="str">
        <f>"28.5"</f>
        <v>28.5</v>
      </c>
      <c r="D1304" t="s">
        <v>1453</v>
      </c>
    </row>
    <row r="1305" spans="1:4" x14ac:dyDescent="0.25">
      <c r="A1305" t="str">
        <f>"1010245"</f>
        <v>1010245</v>
      </c>
      <c r="B1305" t="s">
        <v>1302</v>
      </c>
      <c r="C1305" t="str">
        <f>"32.2"</f>
        <v>32.2</v>
      </c>
      <c r="D1305" t="s">
        <v>1453</v>
      </c>
    </row>
    <row r="1306" spans="1:4" x14ac:dyDescent="0.25">
      <c r="A1306" t="str">
        <f>"73631"</f>
        <v>73631</v>
      </c>
      <c r="B1306" t="s">
        <v>1303</v>
      </c>
      <c r="C1306" t="str">
        <f>"26.2"</f>
        <v>26.2</v>
      </c>
      <c r="D1306" t="s">
        <v>1453</v>
      </c>
    </row>
    <row r="1307" spans="1:4" x14ac:dyDescent="0.25">
      <c r="A1307" t="str">
        <f>"78212"</f>
        <v>78212</v>
      </c>
      <c r="B1307" t="s">
        <v>1304</v>
      </c>
      <c r="C1307" t="str">
        <f>"24.5"</f>
        <v>24.5</v>
      </c>
      <c r="D1307" t="s">
        <v>1453</v>
      </c>
    </row>
    <row r="1308" spans="1:4" x14ac:dyDescent="0.25">
      <c r="A1308" t="str">
        <f>"9065"</f>
        <v>9065</v>
      </c>
      <c r="B1308" t="s">
        <v>1305</v>
      </c>
      <c r="C1308" t="str">
        <f>"17.0"</f>
        <v>17.0</v>
      </c>
      <c r="D1308" t="s">
        <v>1453</v>
      </c>
    </row>
    <row r="1309" spans="1:4" x14ac:dyDescent="0.25">
      <c r="A1309" t="str">
        <f>"76904"</f>
        <v>76904</v>
      </c>
      <c r="B1309" t="s">
        <v>1306</v>
      </c>
      <c r="C1309" t="str">
        <f>"25.6"</f>
        <v>25.6</v>
      </c>
      <c r="D1309" t="s">
        <v>1453</v>
      </c>
    </row>
    <row r="1310" spans="1:4" x14ac:dyDescent="0.25">
      <c r="A1310" t="str">
        <f>"1000079"</f>
        <v>1000079</v>
      </c>
      <c r="B1310" t="s">
        <v>1307</v>
      </c>
      <c r="C1310" t="str">
        <f>"15.3"</f>
        <v>15.3</v>
      </c>
      <c r="D1310" t="s">
        <v>1453</v>
      </c>
    </row>
    <row r="1311" spans="1:4" x14ac:dyDescent="0.25">
      <c r="A1311" t="str">
        <f>"1000080"</f>
        <v>1000080</v>
      </c>
      <c r="B1311" t="s">
        <v>1308</v>
      </c>
      <c r="C1311" t="str">
        <f>"19.6"</f>
        <v>19.6</v>
      </c>
      <c r="D1311" t="s">
        <v>1453</v>
      </c>
    </row>
    <row r="1312" spans="1:4" x14ac:dyDescent="0.25">
      <c r="A1312" t="str">
        <f>"73836"</f>
        <v>73836</v>
      </c>
      <c r="B1312" t="s">
        <v>1309</v>
      </c>
      <c r="C1312" t="str">
        <f>"19.0"</f>
        <v>19.0</v>
      </c>
      <c r="D1312" t="s">
        <v>1453</v>
      </c>
    </row>
    <row r="1313" spans="1:4" x14ac:dyDescent="0.25">
      <c r="A1313" t="str">
        <f>"66536"</f>
        <v>66536</v>
      </c>
      <c r="B1313" t="s">
        <v>1310</v>
      </c>
      <c r="C1313" t="str">
        <f>"23.0"</f>
        <v>23.0</v>
      </c>
      <c r="D1313" t="s">
        <v>1453</v>
      </c>
    </row>
    <row r="1314" spans="1:4" x14ac:dyDescent="0.25">
      <c r="A1314" t="str">
        <f>"10280"</f>
        <v>10280</v>
      </c>
      <c r="B1314" t="s">
        <v>1311</v>
      </c>
      <c r="C1314" t="str">
        <f>"15.7"</f>
        <v>15.7</v>
      </c>
      <c r="D1314" t="s">
        <v>1453</v>
      </c>
    </row>
    <row r="1315" spans="1:4" x14ac:dyDescent="0.25">
      <c r="A1315" t="str">
        <f>"1000760"</f>
        <v>1000760</v>
      </c>
      <c r="B1315" t="s">
        <v>1312</v>
      </c>
      <c r="C1315" t="s">
        <v>1</v>
      </c>
      <c r="D1315" t="s">
        <v>1453</v>
      </c>
    </row>
    <row r="1316" spans="1:4" x14ac:dyDescent="0.25">
      <c r="A1316" t="str">
        <f>"1000761"</f>
        <v>1000761</v>
      </c>
      <c r="B1316" t="s">
        <v>1313</v>
      </c>
      <c r="C1316" t="s">
        <v>1</v>
      </c>
      <c r="D1316" t="s">
        <v>1453</v>
      </c>
    </row>
    <row r="1317" spans="1:4" x14ac:dyDescent="0.25">
      <c r="A1317" t="str">
        <f>"1005082"</f>
        <v>1005082</v>
      </c>
      <c r="B1317" t="s">
        <v>1314</v>
      </c>
      <c r="C1317" t="str">
        <f>"21.0"</f>
        <v>21.0</v>
      </c>
      <c r="D1317" t="s">
        <v>1453</v>
      </c>
    </row>
    <row r="1318" spans="1:4" x14ac:dyDescent="0.25">
      <c r="A1318" t="str">
        <f>"50723"</f>
        <v>50723</v>
      </c>
      <c r="B1318" t="s">
        <v>1315</v>
      </c>
      <c r="C1318" t="str">
        <f>"29.2"</f>
        <v>29.2</v>
      </c>
      <c r="D1318" t="s">
        <v>1453</v>
      </c>
    </row>
    <row r="1319" spans="1:4" x14ac:dyDescent="0.25">
      <c r="A1319" t="str">
        <f>"67286"</f>
        <v>67286</v>
      </c>
      <c r="B1319" t="s">
        <v>1316</v>
      </c>
      <c r="C1319" t="str">
        <f>"3.1"</f>
        <v>3.1</v>
      </c>
      <c r="D1319" t="s">
        <v>1453</v>
      </c>
    </row>
    <row r="1320" spans="1:4" x14ac:dyDescent="0.25">
      <c r="A1320" t="str">
        <f>"77450"</f>
        <v>77450</v>
      </c>
      <c r="B1320" t="s">
        <v>1317</v>
      </c>
      <c r="C1320" t="str">
        <f>"21.0"</f>
        <v>21.0</v>
      </c>
      <c r="D1320" t="s">
        <v>1453</v>
      </c>
    </row>
    <row r="1321" spans="1:4" x14ac:dyDescent="0.25">
      <c r="A1321" t="str">
        <f>"78210"</f>
        <v>78210</v>
      </c>
      <c r="B1321" t="s">
        <v>1318</v>
      </c>
      <c r="C1321" t="str">
        <f>"25.3"</f>
        <v>25.3</v>
      </c>
      <c r="D1321" t="s">
        <v>1453</v>
      </c>
    </row>
    <row r="1322" spans="1:4" x14ac:dyDescent="0.25">
      <c r="A1322" t="str">
        <f>"75651"</f>
        <v>75651</v>
      </c>
      <c r="B1322" t="s">
        <v>1319</v>
      </c>
      <c r="C1322" t="str">
        <f>"27.6"</f>
        <v>27.6</v>
      </c>
      <c r="D1322" t="s">
        <v>1453</v>
      </c>
    </row>
    <row r="1323" spans="1:4" x14ac:dyDescent="0.25">
      <c r="A1323" t="str">
        <f>"71253"</f>
        <v>71253</v>
      </c>
      <c r="B1323" t="s">
        <v>1320</v>
      </c>
      <c r="C1323" t="str">
        <f>"15.9"</f>
        <v>15.9</v>
      </c>
      <c r="D1323" t="s">
        <v>1453</v>
      </c>
    </row>
    <row r="1324" spans="1:4" x14ac:dyDescent="0.25">
      <c r="A1324" t="str">
        <f>"1001292"</f>
        <v>1001292</v>
      </c>
      <c r="B1324" t="s">
        <v>1321</v>
      </c>
      <c r="C1324" t="str">
        <f>"17.3"</f>
        <v>17.3</v>
      </c>
      <c r="D1324" t="s">
        <v>1453</v>
      </c>
    </row>
    <row r="1325" spans="1:4" x14ac:dyDescent="0.25">
      <c r="A1325" t="str">
        <f>"1001290"</f>
        <v>1001290</v>
      </c>
      <c r="B1325" t="s">
        <v>1322</v>
      </c>
      <c r="C1325" t="str">
        <f>"14.4"</f>
        <v>14.4</v>
      </c>
      <c r="D1325" t="s">
        <v>1453</v>
      </c>
    </row>
    <row r="1326" spans="1:4" x14ac:dyDescent="0.25">
      <c r="A1326" t="str">
        <f>"738"</f>
        <v>738</v>
      </c>
      <c r="B1326" t="s">
        <v>1323</v>
      </c>
      <c r="C1326" t="str">
        <f>"21.8000"</f>
        <v>21.8000</v>
      </c>
      <c r="D1326" t="s">
        <v>1453</v>
      </c>
    </row>
    <row r="1327" spans="1:4" x14ac:dyDescent="0.25">
      <c r="A1327" t="str">
        <f>"73707"</f>
        <v>73707</v>
      </c>
      <c r="B1327" t="s">
        <v>1324</v>
      </c>
      <c r="C1327" t="str">
        <f>"23.5"</f>
        <v>23.5</v>
      </c>
      <c r="D1327" t="s">
        <v>1453</v>
      </c>
    </row>
    <row r="1328" spans="1:4" x14ac:dyDescent="0.25">
      <c r="A1328" t="str">
        <f>"75899"</f>
        <v>75899</v>
      </c>
      <c r="B1328" t="s">
        <v>1325</v>
      </c>
      <c r="C1328" t="str">
        <f>"24.6"</f>
        <v>24.6</v>
      </c>
      <c r="D1328" t="s">
        <v>1453</v>
      </c>
    </row>
    <row r="1329" spans="1:4" x14ac:dyDescent="0.25">
      <c r="A1329" t="str">
        <f>"48275"</f>
        <v>48275</v>
      </c>
      <c r="B1329" t="s">
        <v>1326</v>
      </c>
      <c r="C1329" t="str">
        <f>"27.2"</f>
        <v>27.2</v>
      </c>
      <c r="D1329" t="s">
        <v>1453</v>
      </c>
    </row>
    <row r="1330" spans="1:4" x14ac:dyDescent="0.25">
      <c r="A1330" t="str">
        <f>"70136"</f>
        <v>70136</v>
      </c>
      <c r="B1330" t="s">
        <v>1327</v>
      </c>
      <c r="C1330" t="str">
        <f>"20.5"</f>
        <v>20.5</v>
      </c>
      <c r="D1330" t="s">
        <v>1453</v>
      </c>
    </row>
    <row r="1331" spans="1:4" x14ac:dyDescent="0.25">
      <c r="A1331" t="str">
        <f>"79495"</f>
        <v>79495</v>
      </c>
      <c r="B1331" t="s">
        <v>1328</v>
      </c>
      <c r="C1331" t="str">
        <f>"29.4"</f>
        <v>29.4</v>
      </c>
      <c r="D1331" t="s">
        <v>1453</v>
      </c>
    </row>
    <row r="1332" spans="1:4" x14ac:dyDescent="0.25">
      <c r="A1332" t="str">
        <f>"1008065"</f>
        <v>1008065</v>
      </c>
      <c r="B1332" t="s">
        <v>1329</v>
      </c>
      <c r="C1332" t="s">
        <v>1</v>
      </c>
      <c r="D1332" t="s">
        <v>1453</v>
      </c>
    </row>
    <row r="1333" spans="1:4" x14ac:dyDescent="0.25">
      <c r="A1333" t="str">
        <f>"1008939"</f>
        <v>1008939</v>
      </c>
      <c r="B1333" t="s">
        <v>1330</v>
      </c>
      <c r="C1333" t="str">
        <f>"23.5"</f>
        <v>23.5</v>
      </c>
      <c r="D1333" t="s">
        <v>1453</v>
      </c>
    </row>
    <row r="1334" spans="1:4" x14ac:dyDescent="0.25">
      <c r="A1334" t="str">
        <f>"1005077"</f>
        <v>1005077</v>
      </c>
      <c r="B1334" t="s">
        <v>1331</v>
      </c>
      <c r="C1334" t="str">
        <f>"16.2"</f>
        <v>16.2</v>
      </c>
      <c r="D1334" t="s">
        <v>1453</v>
      </c>
    </row>
    <row r="1335" spans="1:4" x14ac:dyDescent="0.25">
      <c r="A1335" t="str">
        <f>"38562"</f>
        <v>38562</v>
      </c>
      <c r="B1335" t="s">
        <v>1332</v>
      </c>
      <c r="C1335" t="str">
        <f>"14.0"</f>
        <v>14.0</v>
      </c>
      <c r="D1335" t="s">
        <v>1453</v>
      </c>
    </row>
    <row r="1336" spans="1:4" x14ac:dyDescent="0.25">
      <c r="A1336" t="str">
        <f>"75231"</f>
        <v>75231</v>
      </c>
      <c r="B1336" t="s">
        <v>1333</v>
      </c>
      <c r="C1336" t="str">
        <f>"23.0"</f>
        <v>23.0</v>
      </c>
      <c r="D1336" t="s">
        <v>1453</v>
      </c>
    </row>
    <row r="1337" spans="1:4" x14ac:dyDescent="0.25">
      <c r="A1337" t="str">
        <f>"1011955"</f>
        <v>1011955</v>
      </c>
      <c r="B1337" t="s">
        <v>1334</v>
      </c>
      <c r="C1337" t="s">
        <v>1</v>
      </c>
      <c r="D1337" t="s">
        <v>1453</v>
      </c>
    </row>
    <row r="1338" spans="1:4" x14ac:dyDescent="0.25">
      <c r="A1338" t="str">
        <f>"74111"</f>
        <v>74111</v>
      </c>
      <c r="B1338" t="s">
        <v>1335</v>
      </c>
      <c r="C1338" t="str">
        <f>"26.0"</f>
        <v>26.0</v>
      </c>
      <c r="D1338" t="s">
        <v>1453</v>
      </c>
    </row>
    <row r="1339" spans="1:4" x14ac:dyDescent="0.25">
      <c r="A1339" t="str">
        <f>"12219"</f>
        <v>12219</v>
      </c>
      <c r="B1339" t="s">
        <v>1336</v>
      </c>
      <c r="C1339" t="str">
        <f>"32.3"</f>
        <v>32.3</v>
      </c>
      <c r="D1339" t="s">
        <v>1453</v>
      </c>
    </row>
    <row r="1340" spans="1:4" x14ac:dyDescent="0.25">
      <c r="A1340" t="str">
        <f>"74885"</f>
        <v>74885</v>
      </c>
      <c r="B1340" t="s">
        <v>1337</v>
      </c>
      <c r="C1340" t="s">
        <v>1</v>
      </c>
      <c r="D1340" t="s">
        <v>1453</v>
      </c>
    </row>
    <row r="1341" spans="1:4" x14ac:dyDescent="0.25">
      <c r="A1341" t="str">
        <f>"1007192"</f>
        <v>1007192</v>
      </c>
      <c r="B1341" t="s">
        <v>1338</v>
      </c>
      <c r="C1341" t="str">
        <f>"21.5"</f>
        <v>21.5</v>
      </c>
      <c r="D1341" t="s">
        <v>1453</v>
      </c>
    </row>
    <row r="1342" spans="1:4" x14ac:dyDescent="0.25">
      <c r="A1342" t="str">
        <f>"68298"</f>
        <v>68298</v>
      </c>
      <c r="B1342" t="s">
        <v>1339</v>
      </c>
      <c r="C1342" t="str">
        <f>"24.8"</f>
        <v>24.8</v>
      </c>
      <c r="D1342" t="s">
        <v>1453</v>
      </c>
    </row>
    <row r="1343" spans="1:4" x14ac:dyDescent="0.25">
      <c r="A1343" t="str">
        <f>"43020"</f>
        <v>43020</v>
      </c>
      <c r="B1343" t="s">
        <v>1340</v>
      </c>
      <c r="C1343" t="str">
        <f>"14.0"</f>
        <v>14.0</v>
      </c>
      <c r="D1343" t="s">
        <v>1453</v>
      </c>
    </row>
    <row r="1344" spans="1:4" x14ac:dyDescent="0.25">
      <c r="A1344" t="str">
        <f>"1001901"</f>
        <v>1001901</v>
      </c>
      <c r="B1344" t="s">
        <v>1341</v>
      </c>
      <c r="C1344" t="str">
        <f>"26.4"</f>
        <v>26.4</v>
      </c>
      <c r="D1344" t="s">
        <v>1453</v>
      </c>
    </row>
    <row r="1345" spans="1:4" x14ac:dyDescent="0.25">
      <c r="A1345" t="str">
        <f>"1009082"</f>
        <v>1009082</v>
      </c>
      <c r="B1345" t="s">
        <v>1342</v>
      </c>
      <c r="C1345" t="str">
        <f>"23.5"</f>
        <v>23.5</v>
      </c>
      <c r="D1345" t="s">
        <v>1453</v>
      </c>
    </row>
    <row r="1346" spans="1:4" x14ac:dyDescent="0.25">
      <c r="A1346" t="str">
        <f>"77570"</f>
        <v>77570</v>
      </c>
      <c r="B1346" t="s">
        <v>1343</v>
      </c>
      <c r="C1346" t="str">
        <f>"31.0"</f>
        <v>31.0</v>
      </c>
      <c r="D1346" t="s">
        <v>1453</v>
      </c>
    </row>
    <row r="1347" spans="1:4" x14ac:dyDescent="0.25">
      <c r="A1347" t="str">
        <f>"41842"</f>
        <v>41842</v>
      </c>
      <c r="B1347" t="s">
        <v>1344</v>
      </c>
      <c r="C1347" t="str">
        <f>"26.8"</f>
        <v>26.8</v>
      </c>
      <c r="D1347" t="s">
        <v>1453</v>
      </c>
    </row>
    <row r="1348" spans="1:4" x14ac:dyDescent="0.25">
      <c r="A1348" t="str">
        <f>"080863"</f>
        <v>080863</v>
      </c>
      <c r="B1348" t="s">
        <v>1345</v>
      </c>
      <c r="C1348" t="str">
        <f>"27.6"</f>
        <v>27.6</v>
      </c>
      <c r="D1348" t="s">
        <v>1453</v>
      </c>
    </row>
    <row r="1349" spans="1:4" x14ac:dyDescent="0.25">
      <c r="A1349" t="str">
        <f>"1009716"</f>
        <v>1009716</v>
      </c>
      <c r="B1349" t="s">
        <v>1346</v>
      </c>
      <c r="C1349" t="str">
        <f>"39.0"</f>
        <v>39.0</v>
      </c>
      <c r="D1349" t="s">
        <v>1453</v>
      </c>
    </row>
    <row r="1350" spans="1:4" x14ac:dyDescent="0.25">
      <c r="A1350" t="str">
        <f>"18433"</f>
        <v>18433</v>
      </c>
      <c r="B1350" t="s">
        <v>1347</v>
      </c>
      <c r="C1350" t="s">
        <v>1</v>
      </c>
      <c r="D1350" t="s">
        <v>1453</v>
      </c>
    </row>
    <row r="1351" spans="1:4" x14ac:dyDescent="0.25">
      <c r="A1351" t="str">
        <f>"10201"</f>
        <v>10201</v>
      </c>
      <c r="B1351" t="s">
        <v>1348</v>
      </c>
      <c r="C1351" t="str">
        <f>"28.5"</f>
        <v>28.5</v>
      </c>
      <c r="D1351" t="s">
        <v>1453</v>
      </c>
    </row>
    <row r="1352" spans="1:4" x14ac:dyDescent="0.25">
      <c r="A1352" t="str">
        <f>"79548"</f>
        <v>79548</v>
      </c>
      <c r="B1352" t="s">
        <v>1349</v>
      </c>
      <c r="C1352" t="str">
        <f>"31.1"</f>
        <v>31.1</v>
      </c>
      <c r="D1352" t="s">
        <v>1453</v>
      </c>
    </row>
    <row r="1353" spans="1:4" x14ac:dyDescent="0.25">
      <c r="A1353" t="str">
        <f>"1000764"</f>
        <v>1000764</v>
      </c>
      <c r="B1353" t="s">
        <v>1350</v>
      </c>
      <c r="C1353" t="str">
        <f>"32.7"</f>
        <v>32.7</v>
      </c>
      <c r="D1353" t="s">
        <v>1453</v>
      </c>
    </row>
    <row r="1354" spans="1:4" x14ac:dyDescent="0.25">
      <c r="A1354" t="str">
        <f>"77871"</f>
        <v>77871</v>
      </c>
      <c r="B1354" t="s">
        <v>1351</v>
      </c>
      <c r="C1354" t="str">
        <f>"24.2"</f>
        <v>24.2</v>
      </c>
      <c r="D1354" t="s">
        <v>1453</v>
      </c>
    </row>
    <row r="1355" spans="1:4" x14ac:dyDescent="0.25">
      <c r="A1355" t="str">
        <f>"1006721"</f>
        <v>1006721</v>
      </c>
      <c r="B1355" t="s">
        <v>1352</v>
      </c>
      <c r="C1355" t="str">
        <f>"20.4"</f>
        <v>20.4</v>
      </c>
      <c r="D1355" t="s">
        <v>1453</v>
      </c>
    </row>
    <row r="1356" spans="1:4" x14ac:dyDescent="0.25">
      <c r="A1356" t="str">
        <f>"1005483"</f>
        <v>1005483</v>
      </c>
      <c r="B1356" t="s">
        <v>1353</v>
      </c>
      <c r="C1356" t="str">
        <f>"33.9"</f>
        <v>33.9</v>
      </c>
      <c r="D1356" t="s">
        <v>1453</v>
      </c>
    </row>
    <row r="1357" spans="1:4" x14ac:dyDescent="0.25">
      <c r="A1357" t="str">
        <f>"80077"</f>
        <v>80077</v>
      </c>
      <c r="B1357" t="s">
        <v>1354</v>
      </c>
      <c r="C1357" t="str">
        <f>"28.8"</f>
        <v>28.8</v>
      </c>
      <c r="D1357" t="s">
        <v>1453</v>
      </c>
    </row>
    <row r="1358" spans="1:4" x14ac:dyDescent="0.25">
      <c r="A1358" t="str">
        <f>"81336"</f>
        <v>81336</v>
      </c>
      <c r="B1358" t="s">
        <v>1355</v>
      </c>
      <c r="C1358" t="str">
        <f>"24.0"</f>
        <v>24.0</v>
      </c>
      <c r="D1358" t="s">
        <v>1453</v>
      </c>
    </row>
    <row r="1359" spans="1:4" x14ac:dyDescent="0.25">
      <c r="A1359" t="str">
        <f>"75885"</f>
        <v>75885</v>
      </c>
      <c r="B1359" t="s">
        <v>1356</v>
      </c>
      <c r="C1359" t="str">
        <f>"26.9"</f>
        <v>26.9</v>
      </c>
      <c r="D1359" t="s">
        <v>1453</v>
      </c>
    </row>
    <row r="1360" spans="1:4" x14ac:dyDescent="0.25">
      <c r="A1360" t="str">
        <f>"9434"</f>
        <v>9434</v>
      </c>
      <c r="B1360" t="s">
        <v>1357</v>
      </c>
      <c r="C1360" t="str">
        <f>"28.1"</f>
        <v>28.1</v>
      </c>
      <c r="D1360" t="s">
        <v>1453</v>
      </c>
    </row>
    <row r="1361" spans="1:4" x14ac:dyDescent="0.25">
      <c r="A1361" t="str">
        <f>"1005440"</f>
        <v>1005440</v>
      </c>
      <c r="B1361" t="s">
        <v>1358</v>
      </c>
      <c r="C1361" t="str">
        <f>"34.1"</f>
        <v>34.1</v>
      </c>
      <c r="D1361" t="s">
        <v>1453</v>
      </c>
    </row>
    <row r="1362" spans="1:4" x14ac:dyDescent="0.25">
      <c r="A1362" t="str">
        <f>"1005079"</f>
        <v>1005079</v>
      </c>
      <c r="B1362" t="s">
        <v>1359</v>
      </c>
      <c r="C1362" t="str">
        <f>"37.5"</f>
        <v>37.5</v>
      </c>
      <c r="D1362" t="s">
        <v>1453</v>
      </c>
    </row>
    <row r="1363" spans="1:4" x14ac:dyDescent="0.25">
      <c r="A1363" t="str">
        <f>"69913"</f>
        <v>69913</v>
      </c>
      <c r="B1363" t="s">
        <v>1360</v>
      </c>
      <c r="C1363" t="str">
        <f>"12.6"</f>
        <v>12.6</v>
      </c>
      <c r="D1363" t="s">
        <v>1453</v>
      </c>
    </row>
    <row r="1364" spans="1:4" x14ac:dyDescent="0.25">
      <c r="A1364" t="str">
        <f>"75901"</f>
        <v>75901</v>
      </c>
      <c r="B1364" t="s">
        <v>1361</v>
      </c>
      <c r="C1364" t="str">
        <f>"8.3"</f>
        <v>8.3</v>
      </c>
      <c r="D1364" t="s">
        <v>1453</v>
      </c>
    </row>
    <row r="1365" spans="1:4" x14ac:dyDescent="0.25">
      <c r="A1365" t="str">
        <f>"75902"</f>
        <v>75902</v>
      </c>
      <c r="B1365" t="s">
        <v>1362</v>
      </c>
      <c r="C1365" t="str">
        <f>"17.0"</f>
        <v>17.0</v>
      </c>
      <c r="D1365" t="s">
        <v>1453</v>
      </c>
    </row>
    <row r="1366" spans="1:4" x14ac:dyDescent="0.25">
      <c r="A1366" t="str">
        <f>"68757"</f>
        <v>68757</v>
      </c>
      <c r="B1366" t="s">
        <v>1363</v>
      </c>
      <c r="C1366" t="str">
        <f>"25.3"</f>
        <v>25.3</v>
      </c>
      <c r="D1366" t="s">
        <v>1453</v>
      </c>
    </row>
    <row r="1367" spans="1:4" x14ac:dyDescent="0.25">
      <c r="A1367" t="str">
        <f>"69995"</f>
        <v>69995</v>
      </c>
      <c r="B1367" t="s">
        <v>1364</v>
      </c>
      <c r="C1367" t="str">
        <f>"16.0"</f>
        <v>16.0</v>
      </c>
      <c r="D1367" t="s">
        <v>1453</v>
      </c>
    </row>
    <row r="1368" spans="1:4" x14ac:dyDescent="0.25">
      <c r="A1368" t="str">
        <f>"65946"</f>
        <v>65946</v>
      </c>
      <c r="B1368" t="s">
        <v>1365</v>
      </c>
      <c r="C1368" t="str">
        <f>"10.7"</f>
        <v>10.7</v>
      </c>
      <c r="D1368" t="s">
        <v>1453</v>
      </c>
    </row>
    <row r="1369" spans="1:4" x14ac:dyDescent="0.25">
      <c r="A1369" t="str">
        <f>"42782"</f>
        <v>42782</v>
      </c>
      <c r="B1369" t="s">
        <v>1366</v>
      </c>
      <c r="C1369" t="str">
        <f>"23.5"</f>
        <v>23.5</v>
      </c>
      <c r="D1369" t="s">
        <v>1453</v>
      </c>
    </row>
    <row r="1370" spans="1:4" x14ac:dyDescent="0.25">
      <c r="A1370" t="str">
        <f>"1006446"</f>
        <v>1006446</v>
      </c>
      <c r="B1370" t="s">
        <v>1367</v>
      </c>
      <c r="C1370" t="str">
        <f>"41.4"</f>
        <v>41.4</v>
      </c>
      <c r="D1370" t="s">
        <v>1453</v>
      </c>
    </row>
    <row r="1371" spans="1:4" x14ac:dyDescent="0.25">
      <c r="A1371" t="str">
        <f>"1006449"</f>
        <v>1006449</v>
      </c>
      <c r="B1371" t="s">
        <v>1368</v>
      </c>
      <c r="C1371" t="str">
        <f>"21.9"</f>
        <v>21.9</v>
      </c>
      <c r="D1371" t="s">
        <v>1453</v>
      </c>
    </row>
    <row r="1372" spans="1:4" x14ac:dyDescent="0.25">
      <c r="A1372" t="str">
        <f>"9997"</f>
        <v>9997</v>
      </c>
      <c r="B1372" t="s">
        <v>1369</v>
      </c>
      <c r="C1372" t="str">
        <f>"9.9"</f>
        <v>9.9</v>
      </c>
      <c r="D1372" t="s">
        <v>1453</v>
      </c>
    </row>
    <row r="1373" spans="1:4" x14ac:dyDescent="0.25">
      <c r="A1373" t="str">
        <f>"29703"</f>
        <v>29703</v>
      </c>
      <c r="B1373" t="s">
        <v>1370</v>
      </c>
      <c r="C1373" t="str">
        <f>"26.1"</f>
        <v>26.1</v>
      </c>
      <c r="D1373" t="s">
        <v>1453</v>
      </c>
    </row>
    <row r="1374" spans="1:4" x14ac:dyDescent="0.25">
      <c r="A1374" t="str">
        <f>"1001189"</f>
        <v>1001189</v>
      </c>
      <c r="B1374" t="s">
        <v>1371</v>
      </c>
      <c r="C1374" t="str">
        <f>"18.2"</f>
        <v>18.2</v>
      </c>
      <c r="D1374" t="s">
        <v>1453</v>
      </c>
    </row>
    <row r="1375" spans="1:4" x14ac:dyDescent="0.25">
      <c r="A1375" t="str">
        <f>"1000158"</f>
        <v>1000158</v>
      </c>
      <c r="B1375" t="s">
        <v>1372</v>
      </c>
      <c r="C1375" t="str">
        <f>"20.8"</f>
        <v>20.8</v>
      </c>
      <c r="D1375" t="s">
        <v>1453</v>
      </c>
    </row>
    <row r="1376" spans="1:4" x14ac:dyDescent="0.25">
      <c r="A1376" t="str">
        <f>"5641"</f>
        <v>5641</v>
      </c>
      <c r="B1376" t="s">
        <v>1373</v>
      </c>
      <c r="C1376" t="str">
        <f>"22.7"</f>
        <v>22.7</v>
      </c>
      <c r="D1376" t="s">
        <v>1453</v>
      </c>
    </row>
    <row r="1377" spans="1:4" x14ac:dyDescent="0.25">
      <c r="A1377" t="str">
        <f>"75905"</f>
        <v>75905</v>
      </c>
      <c r="B1377" t="s">
        <v>1374</v>
      </c>
      <c r="C1377" t="str">
        <f>"21.3"</f>
        <v>21.3</v>
      </c>
      <c r="D1377" t="s">
        <v>1453</v>
      </c>
    </row>
    <row r="1378" spans="1:4" x14ac:dyDescent="0.25">
      <c r="A1378" t="str">
        <f>"76446"</f>
        <v>76446</v>
      </c>
      <c r="B1378" t="s">
        <v>1375</v>
      </c>
      <c r="C1378" t="str">
        <f>"33.0000"</f>
        <v>33.0000</v>
      </c>
      <c r="D1378" t="s">
        <v>1453</v>
      </c>
    </row>
    <row r="1379" spans="1:4" x14ac:dyDescent="0.25">
      <c r="A1379" t="str">
        <f>"1006722"</f>
        <v>1006722</v>
      </c>
      <c r="B1379" t="s">
        <v>1376</v>
      </c>
      <c r="C1379" t="str">
        <f>"22.4"</f>
        <v>22.4</v>
      </c>
      <c r="D1379" t="s">
        <v>1453</v>
      </c>
    </row>
    <row r="1380" spans="1:4" x14ac:dyDescent="0.25">
      <c r="A1380" t="str">
        <f>"69998"</f>
        <v>69998</v>
      </c>
      <c r="B1380" t="s">
        <v>1377</v>
      </c>
      <c r="C1380" t="str">
        <f>"12.3"</f>
        <v>12.3</v>
      </c>
      <c r="D1380" t="s">
        <v>1453</v>
      </c>
    </row>
    <row r="1381" spans="1:4" x14ac:dyDescent="0.25">
      <c r="A1381" t="str">
        <f>"49468"</f>
        <v>49468</v>
      </c>
      <c r="B1381" t="s">
        <v>1378</v>
      </c>
      <c r="C1381" t="str">
        <f>"19.0"</f>
        <v>19.0</v>
      </c>
      <c r="D1381" t="s">
        <v>1453</v>
      </c>
    </row>
    <row r="1382" spans="1:4" x14ac:dyDescent="0.25">
      <c r="A1382" t="str">
        <f>"9568"</f>
        <v>9568</v>
      </c>
      <c r="B1382" t="s">
        <v>1379</v>
      </c>
      <c r="C1382" t="str">
        <f>"29.3"</f>
        <v>29.3</v>
      </c>
      <c r="D1382" t="s">
        <v>1453</v>
      </c>
    </row>
    <row r="1383" spans="1:4" x14ac:dyDescent="0.25">
      <c r="A1383" t="str">
        <f>"20130"</f>
        <v>20130</v>
      </c>
      <c r="B1383" t="s">
        <v>1380</v>
      </c>
      <c r="C1383" t="str">
        <f>"31.7"</f>
        <v>31.7</v>
      </c>
      <c r="D1383" t="s">
        <v>1453</v>
      </c>
    </row>
    <row r="1384" spans="1:4" x14ac:dyDescent="0.25">
      <c r="A1384" t="str">
        <f>"1009649"</f>
        <v>1009649</v>
      </c>
      <c r="B1384" t="s">
        <v>1381</v>
      </c>
      <c r="C1384" t="str">
        <f>"25.3"</f>
        <v>25.3</v>
      </c>
      <c r="D1384" t="s">
        <v>1453</v>
      </c>
    </row>
    <row r="1385" spans="1:4" x14ac:dyDescent="0.25">
      <c r="A1385" t="str">
        <f>"1007741"</f>
        <v>1007741</v>
      </c>
      <c r="B1385" t="s">
        <v>1382</v>
      </c>
      <c r="C1385" t="str">
        <f>"24.9"</f>
        <v>24.9</v>
      </c>
      <c r="D1385" t="s">
        <v>1453</v>
      </c>
    </row>
    <row r="1386" spans="1:4" x14ac:dyDescent="0.25">
      <c r="A1386" t="str">
        <f>"9605"</f>
        <v>9605</v>
      </c>
      <c r="B1386" t="s">
        <v>1383</v>
      </c>
      <c r="C1386" t="str">
        <f>"6.3"</f>
        <v>6.3</v>
      </c>
      <c r="D1386" t="s">
        <v>1453</v>
      </c>
    </row>
    <row r="1387" spans="1:4" x14ac:dyDescent="0.25">
      <c r="A1387" t="str">
        <f>"74115"</f>
        <v>74115</v>
      </c>
      <c r="B1387" t="s">
        <v>1384</v>
      </c>
      <c r="C1387" t="str">
        <f>"38.0"</f>
        <v>38.0</v>
      </c>
      <c r="D1387" t="s">
        <v>1453</v>
      </c>
    </row>
    <row r="1388" spans="1:4" x14ac:dyDescent="0.25">
      <c r="A1388" t="str">
        <f>"9617"</f>
        <v>9617</v>
      </c>
      <c r="B1388" t="s">
        <v>1385</v>
      </c>
      <c r="C1388" t="str">
        <f>"39.1"</f>
        <v>39.1</v>
      </c>
      <c r="D1388" t="s">
        <v>1453</v>
      </c>
    </row>
    <row r="1389" spans="1:4" x14ac:dyDescent="0.25">
      <c r="A1389" t="str">
        <f>"71770"</f>
        <v>71770</v>
      </c>
      <c r="B1389" t="s">
        <v>1386</v>
      </c>
      <c r="C1389" t="str">
        <f>"30.9"</f>
        <v>30.9</v>
      </c>
      <c r="D1389" t="s">
        <v>1453</v>
      </c>
    </row>
    <row r="1390" spans="1:4" x14ac:dyDescent="0.25">
      <c r="A1390" t="str">
        <f>"9622"</f>
        <v>9622</v>
      </c>
      <c r="B1390" t="s">
        <v>1387</v>
      </c>
      <c r="C1390" t="str">
        <f>"35.6"</f>
        <v>35.6</v>
      </c>
      <c r="D1390" t="s">
        <v>1453</v>
      </c>
    </row>
    <row r="1391" spans="1:4" x14ac:dyDescent="0.25">
      <c r="A1391" t="str">
        <f>"1011186"</f>
        <v>1011186</v>
      </c>
      <c r="B1391" t="s">
        <v>1388</v>
      </c>
      <c r="C1391" t="str">
        <f>"17.0"</f>
        <v>17.0</v>
      </c>
      <c r="D1391" t="s">
        <v>1453</v>
      </c>
    </row>
    <row r="1392" spans="1:4" x14ac:dyDescent="0.25">
      <c r="A1392" t="str">
        <f>"14873"</f>
        <v>14873</v>
      </c>
      <c r="B1392" t="s">
        <v>1389</v>
      </c>
      <c r="C1392" t="str">
        <f>"28.7"</f>
        <v>28.7</v>
      </c>
      <c r="D1392" t="s">
        <v>1453</v>
      </c>
    </row>
    <row r="1393" spans="1:4" x14ac:dyDescent="0.25">
      <c r="A1393" t="str">
        <f>"1006657"</f>
        <v>1006657</v>
      </c>
      <c r="B1393" t="s">
        <v>1390</v>
      </c>
      <c r="C1393" t="str">
        <f>"25.7"</f>
        <v>25.7</v>
      </c>
      <c r="D1393" t="s">
        <v>1453</v>
      </c>
    </row>
    <row r="1394" spans="1:4" x14ac:dyDescent="0.25">
      <c r="A1394" t="str">
        <f>"77163"</f>
        <v>77163</v>
      </c>
      <c r="B1394" t="s">
        <v>1391</v>
      </c>
      <c r="C1394" t="str">
        <f>"27.4"</f>
        <v>27.4</v>
      </c>
      <c r="D1394" t="s">
        <v>1453</v>
      </c>
    </row>
    <row r="1395" spans="1:4" x14ac:dyDescent="0.25">
      <c r="A1395" t="str">
        <f>"1001906"</f>
        <v>1001906</v>
      </c>
      <c r="B1395" t="s">
        <v>1392</v>
      </c>
      <c r="C1395" t="str">
        <f>"19.9"</f>
        <v>19.9</v>
      </c>
      <c r="D1395" t="s">
        <v>1453</v>
      </c>
    </row>
    <row r="1396" spans="1:4" x14ac:dyDescent="0.25">
      <c r="A1396" t="str">
        <f>"9693"</f>
        <v>9693</v>
      </c>
      <c r="B1396" t="s">
        <v>1393</v>
      </c>
      <c r="C1396" t="str">
        <f>"18.1"</f>
        <v>18.1</v>
      </c>
      <c r="D1396" t="s">
        <v>1453</v>
      </c>
    </row>
    <row r="1397" spans="1:4" x14ac:dyDescent="0.25">
      <c r="A1397" t="str">
        <f>"73133"</f>
        <v>73133</v>
      </c>
      <c r="B1397" t="s">
        <v>1394</v>
      </c>
      <c r="C1397" t="str">
        <f>"26.0"</f>
        <v>26.0</v>
      </c>
      <c r="D1397" t="s">
        <v>1453</v>
      </c>
    </row>
    <row r="1398" spans="1:4" x14ac:dyDescent="0.25">
      <c r="A1398" t="str">
        <f>"49693"</f>
        <v>49693</v>
      </c>
      <c r="B1398" t="s">
        <v>1395</v>
      </c>
      <c r="C1398" t="str">
        <f>"26.8"</f>
        <v>26.8</v>
      </c>
      <c r="D1398" t="s">
        <v>1453</v>
      </c>
    </row>
    <row r="1399" spans="1:4" x14ac:dyDescent="0.25">
      <c r="A1399" t="str">
        <f>"76444"</f>
        <v>76444</v>
      </c>
      <c r="B1399" t="s">
        <v>1396</v>
      </c>
      <c r="C1399" t="str">
        <f>"32.7"</f>
        <v>32.7</v>
      </c>
      <c r="D1399" t="s">
        <v>1453</v>
      </c>
    </row>
    <row r="1400" spans="1:4" x14ac:dyDescent="0.25">
      <c r="A1400" t="str">
        <f>"1007013"</f>
        <v>1007013</v>
      </c>
      <c r="B1400" t="s">
        <v>1397</v>
      </c>
      <c r="C1400" t="str">
        <f>"29.5"</f>
        <v>29.5</v>
      </c>
      <c r="D1400" t="s">
        <v>1453</v>
      </c>
    </row>
    <row r="1401" spans="1:4" x14ac:dyDescent="0.25">
      <c r="A1401" t="str">
        <f>"67655"</f>
        <v>67655</v>
      </c>
      <c r="B1401" t="s">
        <v>1398</v>
      </c>
      <c r="C1401" t="str">
        <f>"11.2"</f>
        <v>11.2</v>
      </c>
      <c r="D1401" t="s">
        <v>1453</v>
      </c>
    </row>
    <row r="1402" spans="1:4" x14ac:dyDescent="0.25">
      <c r="A1402" t="str">
        <f>"74014"</f>
        <v>74014</v>
      </c>
      <c r="B1402" t="s">
        <v>1399</v>
      </c>
      <c r="C1402" t="str">
        <f>"21.6"</f>
        <v>21.6</v>
      </c>
      <c r="D1402" t="s">
        <v>1453</v>
      </c>
    </row>
    <row r="1403" spans="1:4" x14ac:dyDescent="0.25">
      <c r="A1403" t="str">
        <f>"75219"</f>
        <v>75219</v>
      </c>
      <c r="B1403" t="s">
        <v>1400</v>
      </c>
      <c r="C1403" t="str">
        <f>"23.8"</f>
        <v>23.8</v>
      </c>
      <c r="D1403" t="s">
        <v>1453</v>
      </c>
    </row>
    <row r="1404" spans="1:4" x14ac:dyDescent="0.25">
      <c r="A1404" t="str">
        <f>"10702"</f>
        <v>10702</v>
      </c>
      <c r="B1404" t="s">
        <v>1401</v>
      </c>
      <c r="C1404" t="s">
        <v>1</v>
      </c>
      <c r="D1404" t="s">
        <v>1453</v>
      </c>
    </row>
    <row r="1405" spans="1:4" x14ac:dyDescent="0.25">
      <c r="A1405" t="str">
        <f>"1008066"</f>
        <v>1008066</v>
      </c>
      <c r="B1405" t="s">
        <v>1402</v>
      </c>
      <c r="C1405" t="s">
        <v>1</v>
      </c>
      <c r="D1405" t="s">
        <v>1453</v>
      </c>
    </row>
    <row r="1406" spans="1:4" x14ac:dyDescent="0.25">
      <c r="A1406" t="str">
        <f>"76443"</f>
        <v>76443</v>
      </c>
      <c r="B1406" t="s">
        <v>1403</v>
      </c>
      <c r="C1406" t="s">
        <v>1</v>
      </c>
      <c r="D1406" t="s">
        <v>1453</v>
      </c>
    </row>
    <row r="1407" spans="1:4" x14ac:dyDescent="0.25">
      <c r="A1407" t="str">
        <f>"76368"</f>
        <v>76368</v>
      </c>
      <c r="B1407" t="s">
        <v>1404</v>
      </c>
      <c r="C1407" t="str">
        <f>"27.4"</f>
        <v>27.4</v>
      </c>
      <c r="D1407" t="s">
        <v>1453</v>
      </c>
    </row>
    <row r="1408" spans="1:4" x14ac:dyDescent="0.25">
      <c r="A1408" t="str">
        <f>"80580"</f>
        <v>80580</v>
      </c>
      <c r="B1408" t="s">
        <v>1405</v>
      </c>
      <c r="C1408" t="str">
        <f>"24.1"</f>
        <v>24.1</v>
      </c>
      <c r="D1408" t="s">
        <v>1453</v>
      </c>
    </row>
    <row r="1409" spans="1:4" x14ac:dyDescent="0.25">
      <c r="A1409" t="str">
        <f>"9877"</f>
        <v>9877</v>
      </c>
      <c r="B1409" t="s">
        <v>1406</v>
      </c>
      <c r="C1409" t="str">
        <f>"23.6"</f>
        <v>23.6</v>
      </c>
      <c r="D1409" t="s">
        <v>1453</v>
      </c>
    </row>
    <row r="1410" spans="1:4" x14ac:dyDescent="0.25">
      <c r="A1410" t="str">
        <f>"76516"</f>
        <v>76516</v>
      </c>
      <c r="B1410" t="s">
        <v>1407</v>
      </c>
      <c r="C1410" t="str">
        <f>"32.1"</f>
        <v>32.1</v>
      </c>
      <c r="D1410" t="s">
        <v>1453</v>
      </c>
    </row>
    <row r="1411" spans="1:4" x14ac:dyDescent="0.25">
      <c r="A1411" t="str">
        <f>"75713"</f>
        <v>75713</v>
      </c>
      <c r="B1411" t="s">
        <v>1408</v>
      </c>
      <c r="C1411" t="str">
        <f>"28.3"</f>
        <v>28.3</v>
      </c>
      <c r="D1411" t="s">
        <v>1453</v>
      </c>
    </row>
    <row r="1412" spans="1:4" x14ac:dyDescent="0.25">
      <c r="A1412" t="str">
        <f>"69448"</f>
        <v>69448</v>
      </c>
      <c r="B1412" t="s">
        <v>1409</v>
      </c>
      <c r="C1412" t="str">
        <f>"16.4"</f>
        <v>16.4</v>
      </c>
      <c r="D1412" t="s">
        <v>1453</v>
      </c>
    </row>
    <row r="1413" spans="1:4" x14ac:dyDescent="0.25">
      <c r="A1413" t="str">
        <f>"74890"</f>
        <v>74890</v>
      </c>
      <c r="B1413" t="s">
        <v>1410</v>
      </c>
      <c r="C1413" t="str">
        <f>"33.2"</f>
        <v>33.2</v>
      </c>
      <c r="D1413" t="s">
        <v>1453</v>
      </c>
    </row>
    <row r="1414" spans="1:4" x14ac:dyDescent="0.25">
      <c r="A1414" t="str">
        <f>"9919"</f>
        <v>9919</v>
      </c>
      <c r="B1414" t="s">
        <v>1411</v>
      </c>
      <c r="C1414" t="str">
        <f>"10.4"</f>
        <v>10.4</v>
      </c>
      <c r="D1414" t="s">
        <v>1453</v>
      </c>
    </row>
    <row r="1415" spans="1:4" x14ac:dyDescent="0.25">
      <c r="A1415" t="str">
        <f>"9932"</f>
        <v>9932</v>
      </c>
      <c r="B1415" t="s">
        <v>1412</v>
      </c>
      <c r="C1415" t="str">
        <f>"34.5"</f>
        <v>34.5</v>
      </c>
      <c r="D1415" t="s">
        <v>1453</v>
      </c>
    </row>
    <row r="1416" spans="1:4" x14ac:dyDescent="0.25">
      <c r="A1416" t="str">
        <f>"77165"</f>
        <v>77165</v>
      </c>
      <c r="B1416" t="s">
        <v>1413</v>
      </c>
      <c r="C1416" t="str">
        <f>"25.3"</f>
        <v>25.3</v>
      </c>
      <c r="D1416" t="s">
        <v>1453</v>
      </c>
    </row>
    <row r="1417" spans="1:4" x14ac:dyDescent="0.25">
      <c r="A1417" t="str">
        <f>"73835"</f>
        <v>73835</v>
      </c>
      <c r="B1417" t="s">
        <v>1414</v>
      </c>
      <c r="C1417" t="str">
        <f>"26.9"</f>
        <v>26.9</v>
      </c>
      <c r="D1417" t="s">
        <v>1453</v>
      </c>
    </row>
    <row r="1418" spans="1:4" x14ac:dyDescent="0.25">
      <c r="A1418" t="str">
        <f>"75628"</f>
        <v>75628</v>
      </c>
      <c r="B1418" t="s">
        <v>1415</v>
      </c>
      <c r="C1418" t="str">
        <f>"25.3"</f>
        <v>25.3</v>
      </c>
      <c r="D1418" t="s">
        <v>1453</v>
      </c>
    </row>
    <row r="1419" spans="1:4" x14ac:dyDescent="0.25">
      <c r="A1419" t="str">
        <f>"9958"</f>
        <v>9958</v>
      </c>
      <c r="B1419" t="s">
        <v>1416</v>
      </c>
      <c r="C1419" t="str">
        <f>"31.2"</f>
        <v>31.2</v>
      </c>
      <c r="D1419" t="s">
        <v>1453</v>
      </c>
    </row>
    <row r="1420" spans="1:4" x14ac:dyDescent="0.25">
      <c r="A1420" t="str">
        <f>"80338"</f>
        <v>80338</v>
      </c>
      <c r="B1420" t="s">
        <v>1417</v>
      </c>
      <c r="C1420" t="str">
        <f>"21.4"</f>
        <v>21.4</v>
      </c>
      <c r="D1420" t="s">
        <v>1453</v>
      </c>
    </row>
    <row r="1421" spans="1:4" x14ac:dyDescent="0.25">
      <c r="A1421" t="str">
        <f>"9967"</f>
        <v>9967</v>
      </c>
      <c r="B1421" t="s">
        <v>1418</v>
      </c>
      <c r="C1421" t="str">
        <f>"20.1"</f>
        <v>20.1</v>
      </c>
      <c r="D1421" t="s">
        <v>1453</v>
      </c>
    </row>
    <row r="1422" spans="1:4" x14ac:dyDescent="0.25">
      <c r="A1422" t="str">
        <f>"1004400"</f>
        <v>1004400</v>
      </c>
      <c r="B1422" t="s">
        <v>1419</v>
      </c>
      <c r="C1422" t="str">
        <f>"20.9"</f>
        <v>20.9</v>
      </c>
      <c r="D1422" t="s">
        <v>1453</v>
      </c>
    </row>
    <row r="1423" spans="1:4" x14ac:dyDescent="0.25">
      <c r="A1423" t="str">
        <f>"1006201"</f>
        <v>1006201</v>
      </c>
      <c r="B1423" t="s">
        <v>1420</v>
      </c>
      <c r="C1423" t="str">
        <f>"30.1"</f>
        <v>30.1</v>
      </c>
      <c r="D1423" t="s">
        <v>1453</v>
      </c>
    </row>
    <row r="1424" spans="1:4" x14ac:dyDescent="0.25">
      <c r="A1424" t="str">
        <f>"1002730"</f>
        <v>1002730</v>
      </c>
      <c r="B1424" t="s">
        <v>1421</v>
      </c>
      <c r="C1424" t="str">
        <f>"21.1"</f>
        <v>21.1</v>
      </c>
      <c r="D1424" t="s">
        <v>1453</v>
      </c>
    </row>
    <row r="1425" spans="1:4" x14ac:dyDescent="0.25">
      <c r="A1425" t="str">
        <f>"46119"</f>
        <v>46119</v>
      </c>
      <c r="B1425" t="s">
        <v>1422</v>
      </c>
      <c r="C1425" t="str">
        <f>"16.1"</f>
        <v>16.1</v>
      </c>
      <c r="D1425" t="s">
        <v>1453</v>
      </c>
    </row>
    <row r="1426" spans="1:4" x14ac:dyDescent="0.25">
      <c r="A1426" t="str">
        <f>"80184"</f>
        <v>80184</v>
      </c>
      <c r="B1426" t="s">
        <v>1423</v>
      </c>
      <c r="C1426" t="str">
        <f>"23.9"</f>
        <v>23.9</v>
      </c>
      <c r="D1426" t="s">
        <v>1453</v>
      </c>
    </row>
    <row r="1427" spans="1:4" x14ac:dyDescent="0.25">
      <c r="A1427" t="str">
        <f>"42503"</f>
        <v>42503</v>
      </c>
      <c r="B1427" t="s">
        <v>1424</v>
      </c>
      <c r="C1427" t="str">
        <f>"3.8"</f>
        <v>3.8</v>
      </c>
      <c r="D1427" t="s">
        <v>1453</v>
      </c>
    </row>
    <row r="1428" spans="1:4" x14ac:dyDescent="0.25">
      <c r="A1428" t="str">
        <f>"1006966"</f>
        <v>1006966</v>
      </c>
      <c r="B1428" t="s">
        <v>1425</v>
      </c>
      <c r="C1428" t="str">
        <f>"24.4"</f>
        <v>24.4</v>
      </c>
      <c r="D1428" t="s">
        <v>1453</v>
      </c>
    </row>
    <row r="1429" spans="1:4" x14ac:dyDescent="0.25">
      <c r="A1429" t="str">
        <f>"1000149"</f>
        <v>1000149</v>
      </c>
      <c r="B1429" t="s">
        <v>1426</v>
      </c>
      <c r="C1429" t="str">
        <f>"43.7"</f>
        <v>43.7</v>
      </c>
      <c r="D1429" t="s">
        <v>1453</v>
      </c>
    </row>
    <row r="1430" spans="1:4" x14ac:dyDescent="0.25">
      <c r="A1430" t="str">
        <f>"77227"</f>
        <v>77227</v>
      </c>
      <c r="B1430" t="s">
        <v>1427</v>
      </c>
      <c r="C1430" t="str">
        <f>"20.3"</f>
        <v>20.3</v>
      </c>
      <c r="D1430" t="s">
        <v>1453</v>
      </c>
    </row>
    <row r="1431" spans="1:4" x14ac:dyDescent="0.25">
      <c r="A1431" t="str">
        <f>"1001163"</f>
        <v>1001163</v>
      </c>
      <c r="B1431" t="s">
        <v>1428</v>
      </c>
      <c r="C1431" t="str">
        <f>"22.4"</f>
        <v>22.4</v>
      </c>
      <c r="D1431" t="s">
        <v>1453</v>
      </c>
    </row>
    <row r="1432" spans="1:4" x14ac:dyDescent="0.25">
      <c r="A1432" t="str">
        <f>"77979"</f>
        <v>77979</v>
      </c>
      <c r="B1432" t="s">
        <v>1429</v>
      </c>
      <c r="C1432" t="str">
        <f>"39.7"</f>
        <v>39.7</v>
      </c>
      <c r="D1432" t="s">
        <v>1453</v>
      </c>
    </row>
    <row r="1433" spans="1:4" x14ac:dyDescent="0.25">
      <c r="A1433" t="str">
        <f>"1001500"</f>
        <v>1001500</v>
      </c>
      <c r="B1433" t="s">
        <v>1430</v>
      </c>
      <c r="C1433" t="str">
        <f>"18.5"</f>
        <v>18.5</v>
      </c>
      <c r="D1433" t="s">
        <v>1453</v>
      </c>
    </row>
    <row r="1434" spans="1:4" x14ac:dyDescent="0.25">
      <c r="A1434" t="str">
        <f>"76445"</f>
        <v>76445</v>
      </c>
      <c r="B1434" t="s">
        <v>1431</v>
      </c>
      <c r="C1434" t="str">
        <f>"32.8"</f>
        <v>32.8</v>
      </c>
      <c r="D1434" t="s">
        <v>1453</v>
      </c>
    </row>
    <row r="1435" spans="1:4" x14ac:dyDescent="0.25">
      <c r="A1435" t="str">
        <f>"1000019"</f>
        <v>1000019</v>
      </c>
      <c r="B1435" t="s">
        <v>1432</v>
      </c>
      <c r="C1435" t="s">
        <v>1</v>
      </c>
      <c r="D1435" t="s">
        <v>1453</v>
      </c>
    </row>
    <row r="1436" spans="1:4" x14ac:dyDescent="0.25">
      <c r="A1436" t="str">
        <f>"66488"</f>
        <v>66488</v>
      </c>
      <c r="B1436" t="s">
        <v>1433</v>
      </c>
      <c r="C1436" t="str">
        <f>"32.8"</f>
        <v>32.8</v>
      </c>
      <c r="D1436" t="s">
        <v>1453</v>
      </c>
    </row>
    <row r="1437" spans="1:4" x14ac:dyDescent="0.25">
      <c r="A1437" t="str">
        <f>"74113"</f>
        <v>74113</v>
      </c>
      <c r="B1437" t="s">
        <v>1434</v>
      </c>
      <c r="C1437" t="str">
        <f>"17.3"</f>
        <v>17.3</v>
      </c>
      <c r="D1437" t="s">
        <v>1453</v>
      </c>
    </row>
    <row r="1438" spans="1:4" x14ac:dyDescent="0.25">
      <c r="A1438" t="str">
        <f>"10074"</f>
        <v>10074</v>
      </c>
      <c r="B1438" t="s">
        <v>1435</v>
      </c>
      <c r="C1438" t="str">
        <f>"20.6"</f>
        <v>20.6</v>
      </c>
      <c r="D1438" t="s">
        <v>1453</v>
      </c>
    </row>
    <row r="1439" spans="1:4" x14ac:dyDescent="0.25">
      <c r="A1439" t="str">
        <f>"1011446"</f>
        <v>1011446</v>
      </c>
      <c r="B1439" t="s">
        <v>1436</v>
      </c>
      <c r="C1439" t="str">
        <f>"25.5"</f>
        <v>25.5</v>
      </c>
      <c r="D1439" t="s">
        <v>1453</v>
      </c>
    </row>
    <row r="1440" spans="1:4" x14ac:dyDescent="0.25">
      <c r="A1440" t="str">
        <f>"73011"</f>
        <v>73011</v>
      </c>
      <c r="B1440" t="s">
        <v>1437</v>
      </c>
      <c r="C1440" t="str">
        <f>"14.6"</f>
        <v>14.6</v>
      </c>
      <c r="D1440" t="s">
        <v>1453</v>
      </c>
    </row>
    <row r="1441" spans="1:4" x14ac:dyDescent="0.25">
      <c r="A1441" t="str">
        <f>"73132"</f>
        <v>73132</v>
      </c>
      <c r="B1441" t="s">
        <v>1438</v>
      </c>
      <c r="C1441" t="str">
        <f>"20.0"</f>
        <v>20.0</v>
      </c>
      <c r="D1441" t="s">
        <v>1453</v>
      </c>
    </row>
    <row r="1442" spans="1:4" x14ac:dyDescent="0.25">
      <c r="A1442" t="str">
        <f>"77892"</f>
        <v>77892</v>
      </c>
      <c r="B1442" t="s">
        <v>1439</v>
      </c>
      <c r="C1442" t="str">
        <f>"14.4"</f>
        <v>14.4</v>
      </c>
      <c r="D1442" t="s">
        <v>1453</v>
      </c>
    </row>
    <row r="1443" spans="1:4" x14ac:dyDescent="0.25">
      <c r="A1443" t="str">
        <f>"1001753"</f>
        <v>1001753</v>
      </c>
      <c r="B1443" t="s">
        <v>1440</v>
      </c>
      <c r="C1443" t="str">
        <f>"24.1"</f>
        <v>24.1</v>
      </c>
      <c r="D1443" t="s">
        <v>1453</v>
      </c>
    </row>
    <row r="1444" spans="1:4" x14ac:dyDescent="0.25">
      <c r="A1444" t="str">
        <f>"1010246"</f>
        <v>1010246</v>
      </c>
      <c r="B1444" t="s">
        <v>1441</v>
      </c>
      <c r="C1444" t="str">
        <f>"21.4"</f>
        <v>21.4</v>
      </c>
      <c r="D1444" t="s">
        <v>1453</v>
      </c>
    </row>
    <row r="1445" spans="1:4" x14ac:dyDescent="0.25">
      <c r="A1445" t="str">
        <f>"10126"</f>
        <v>10126</v>
      </c>
      <c r="B1445" t="s">
        <v>1442</v>
      </c>
      <c r="C1445" t="str">
        <f>"16.6"</f>
        <v>16.6</v>
      </c>
      <c r="D1445" t="s">
        <v>1453</v>
      </c>
    </row>
    <row r="1446" spans="1:4" x14ac:dyDescent="0.25">
      <c r="A1446" t="str">
        <f>"13965"</f>
        <v>13965</v>
      </c>
      <c r="B1446" t="s">
        <v>1443</v>
      </c>
      <c r="C1446" t="str">
        <f>"21.7"</f>
        <v>21.7</v>
      </c>
      <c r="D1446" t="s">
        <v>1453</v>
      </c>
    </row>
    <row r="1447" spans="1:4" x14ac:dyDescent="0.25">
      <c r="A1447" t="str">
        <f>"1011187"</f>
        <v>1011187</v>
      </c>
      <c r="B1447" t="s">
        <v>1444</v>
      </c>
      <c r="C1447" t="s">
        <v>1</v>
      </c>
      <c r="D1447" t="s">
        <v>1453</v>
      </c>
    </row>
    <row r="1448" spans="1:4" x14ac:dyDescent="0.25">
      <c r="A1448" t="str">
        <f>"1001286"</f>
        <v>1001286</v>
      </c>
      <c r="B1448" t="s">
        <v>1445</v>
      </c>
      <c r="C1448" t="s">
        <v>1</v>
      </c>
      <c r="D1448" t="s">
        <v>1453</v>
      </c>
    </row>
    <row r="1449" spans="1:4" x14ac:dyDescent="0.25">
      <c r="A1449" t="str">
        <f>"1000015"</f>
        <v>1000015</v>
      </c>
      <c r="B1449" t="s">
        <v>1446</v>
      </c>
      <c r="C1449" t="str">
        <f>"28.0"</f>
        <v>28.0</v>
      </c>
      <c r="D1449" t="s">
        <v>1453</v>
      </c>
    </row>
    <row r="1450" spans="1:4" x14ac:dyDescent="0.25">
      <c r="A1450" t="str">
        <f>"1000743"</f>
        <v>1000743</v>
      </c>
      <c r="B1450" t="s">
        <v>1447</v>
      </c>
      <c r="C1450" t="str">
        <f>"44.0"</f>
        <v>44.0</v>
      </c>
      <c r="D1450" t="s">
        <v>1453</v>
      </c>
    </row>
    <row r="1451" spans="1:4" x14ac:dyDescent="0.25">
      <c r="A1451" t="str">
        <f>"1008916"</f>
        <v>1008916</v>
      </c>
      <c r="B1451" t="s">
        <v>1448</v>
      </c>
      <c r="C1451" t="str">
        <f>"13.4"</f>
        <v>13.4</v>
      </c>
      <c r="D1451" t="s">
        <v>1453</v>
      </c>
    </row>
    <row r="1452" spans="1:4" x14ac:dyDescent="0.25">
      <c r="A1452" t="str">
        <f>"23032"</f>
        <v>23032</v>
      </c>
      <c r="B1452" t="s">
        <v>1449</v>
      </c>
      <c r="C1452" t="s">
        <v>1</v>
      </c>
      <c r="D1452" t="s">
        <v>1453</v>
      </c>
    </row>
    <row r="1453" spans="1:4" x14ac:dyDescent="0.25">
      <c r="A1453" t="str">
        <f>"23035"</f>
        <v>23035</v>
      </c>
      <c r="B1453" t="s">
        <v>1450</v>
      </c>
      <c r="C1453" t="str">
        <f>"17.7"</f>
        <v>17.7</v>
      </c>
      <c r="D1453" t="s">
        <v>1453</v>
      </c>
    </row>
    <row r="1454" spans="1:4" x14ac:dyDescent="0.25">
      <c r="A1454" t="str">
        <f>"1000014"</f>
        <v>1000014</v>
      </c>
      <c r="B1454" t="s">
        <v>1451</v>
      </c>
      <c r="C1454" t="str">
        <f>"23.4"</f>
        <v>23.4</v>
      </c>
      <c r="D1454" t="s">
        <v>1453</v>
      </c>
    </row>
    <row r="1455" spans="1:4" x14ac:dyDescent="0.25">
      <c r="A1455" t="str">
        <f>"16674"</f>
        <v>16674</v>
      </c>
      <c r="B1455" t="s">
        <v>1452</v>
      </c>
      <c r="C1455" t="str">
        <f>"23.9"</f>
        <v>23.9</v>
      </c>
      <c r="D1455" t="s">
        <v>1453</v>
      </c>
    </row>
  </sheetData>
  <autoFilter ref="A1:D1455" xr:uid="{8F8C1BE3-087D-4E77-B79E-619634B872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Lani</dc:creator>
  <cp:lastModifiedBy>Froilan Asuncion</cp:lastModifiedBy>
  <dcterms:created xsi:type="dcterms:W3CDTF">2025-10-30T05:55:28Z</dcterms:created>
  <dcterms:modified xsi:type="dcterms:W3CDTF">2025-11-11T01:07:43Z</dcterms:modified>
</cp:coreProperties>
</file>